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f\Downloads\"/>
    </mc:Choice>
  </mc:AlternateContent>
  <xr:revisionPtr revIDLastSave="0" documentId="8_{052649F8-F9A9-4A8D-8BA5-6CD05685F87A}" xr6:coauthVersionLast="47" xr6:coauthVersionMax="47" xr10:uidLastSave="{00000000-0000-0000-0000-000000000000}"/>
  <bookViews>
    <workbookView xWindow="324" yWindow="1776" windowWidth="22716" windowHeight="11184" tabRatio="500" xr2:uid="{00000000-000D-0000-FFFF-FFFF00000000}"/>
  </bookViews>
  <sheets>
    <sheet name="Main Model" sheetId="1" r:id="rId1"/>
    <sheet name="Notes &amp; Assumptions" sheetId="2" r:id="rId2"/>
  </sheets>
  <definedNames>
    <definedName name="DAY_CT">'Main Model'!$C$22</definedName>
    <definedName name="F0_in">'Main Model'!$C$11</definedName>
    <definedName name="FC_AMT">'Main Model'!$C$6</definedName>
    <definedName name="K_CALL">'Main Model'!$C$18</definedName>
    <definedName name="K_PUT">'Main Model'!$C$16</definedName>
    <definedName name="PREM_CALL">'Main Model'!$C$19</definedName>
    <definedName name="PREM_PUT">'Main Model'!$C$17</definedName>
    <definedName name="R_FC">'Main Model'!$C$13</definedName>
    <definedName name="R_USD">'Main Model'!$C$12</definedName>
    <definedName name="S0_in">'Main Model'!$C$10</definedName>
    <definedName name="T_DAYS">'Main Model'!$C$7</definedName>
    <definedName name="T_YRS">'Main Model'!$C$23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1" i="1" l="1"/>
  <c r="E61" i="1"/>
  <c r="C61" i="1"/>
  <c r="E60" i="1"/>
  <c r="D60" i="1"/>
  <c r="C60" i="1"/>
  <c r="E59" i="1"/>
  <c r="C59" i="1"/>
  <c r="E58" i="1"/>
  <c r="C58" i="1"/>
  <c r="E57" i="1"/>
  <c r="D57" i="1"/>
  <c r="C57" i="1"/>
  <c r="E56" i="1"/>
  <c r="C56" i="1"/>
  <c r="D56" i="1" s="1"/>
  <c r="E55" i="1"/>
  <c r="C55" i="1"/>
  <c r="D55" i="1" s="1"/>
  <c r="E54" i="1"/>
  <c r="C54" i="1"/>
  <c r="H54" i="1" s="1"/>
  <c r="E53" i="1"/>
  <c r="C53" i="1"/>
  <c r="H53" i="1" s="1"/>
  <c r="E52" i="1"/>
  <c r="C52" i="1"/>
  <c r="D52" i="1" s="1"/>
  <c r="E51" i="1"/>
  <c r="C51" i="1"/>
  <c r="D51" i="1" s="1"/>
  <c r="C42" i="1"/>
  <c r="C43" i="1" s="1"/>
  <c r="C40" i="1"/>
  <c r="C41" i="1" s="1"/>
  <c r="C27" i="1"/>
  <c r="C26" i="1"/>
  <c r="C66" i="1" s="1"/>
  <c r="C23" i="1"/>
  <c r="C31" i="1" s="1"/>
  <c r="C32" i="1" s="1"/>
  <c r="C33" i="1" s="1"/>
  <c r="C34" i="1" s="1"/>
  <c r="H58" i="1" l="1"/>
  <c r="F51" i="1"/>
  <c r="C67" i="1"/>
  <c r="F58" i="1"/>
  <c r="F54" i="1"/>
  <c r="F61" i="1"/>
  <c r="F57" i="1"/>
  <c r="C35" i="1"/>
  <c r="F60" i="1"/>
  <c r="F56" i="1"/>
  <c r="F55" i="1"/>
  <c r="F52" i="1"/>
  <c r="F53" i="1"/>
  <c r="F59" i="1"/>
  <c r="H59" i="1"/>
  <c r="H61" i="1"/>
  <c r="C69" i="1"/>
  <c r="C68" i="1"/>
  <c r="G58" i="1"/>
  <c r="G54" i="1"/>
  <c r="G53" i="1"/>
  <c r="C46" i="1"/>
  <c r="G57" i="1"/>
  <c r="G61" i="1"/>
  <c r="G60" i="1"/>
  <c r="G56" i="1"/>
  <c r="G52" i="1"/>
  <c r="G51" i="1"/>
  <c r="G59" i="1"/>
  <c r="G55" i="1"/>
  <c r="C70" i="1"/>
  <c r="C47" i="1"/>
  <c r="H57" i="1"/>
  <c r="H60" i="1"/>
  <c r="H56" i="1"/>
  <c r="H52" i="1"/>
  <c r="H51" i="1"/>
  <c r="H55" i="1"/>
  <c r="D59" i="1"/>
  <c r="C36" i="1"/>
  <c r="D53" i="1"/>
  <c r="D61" i="1"/>
  <c r="D54" i="1"/>
  <c r="D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000-000001000000}">
      <text>
        <r>
          <rPr>
            <sz val="10"/>
            <rFont val="Arial"/>
            <family val="2"/>
          </rPr>
          <t>Enter EUR face amount of receivable</t>
        </r>
      </text>
    </comment>
    <comment ref="C7" authorId="0" shapeId="0" xr:uid="{00000000-0006-0000-0000-000002000000}">
      <text>
        <r>
          <rPr>
            <sz val="10"/>
            <rFont val="Arial"/>
            <family val="2"/>
          </rPr>
          <t>Day-count basis: 360 (money market convention)</t>
        </r>
      </text>
    </comment>
    <comment ref="C10" authorId="0" shapeId="0" xr:uid="{00000000-0006-0000-0000-000003000000}">
      <text>
        <r>
          <rPr>
            <sz val="10"/>
            <rFont val="Arial"/>
            <family val="2"/>
          </rPr>
          <t>Current USD/EUR spot rate</t>
        </r>
      </text>
    </comment>
    <comment ref="C11" authorId="0" shapeId="0" xr:uid="{00000000-0006-0000-0000-000004000000}">
      <text>
        <r>
          <rPr>
            <sz val="10"/>
            <rFont val="Arial"/>
            <family val="2"/>
          </rPr>
          <t>One-year forward USD/EUR</t>
        </r>
      </text>
    </comment>
    <comment ref="C12" authorId="0" shapeId="0" xr:uid="{00000000-0006-0000-0000-000005000000}">
      <text>
        <r>
          <rPr>
            <sz val="10"/>
            <rFont val="Arial"/>
            <family val="2"/>
          </rPr>
          <t>USD money-market rate</t>
        </r>
      </text>
    </comment>
    <comment ref="C13" authorId="0" shapeId="0" xr:uid="{00000000-0006-0000-0000-000006000000}">
      <text>
        <r>
          <rPr>
            <sz val="10"/>
            <rFont val="Arial"/>
            <family val="2"/>
          </rPr>
          <t>EUR money-market rate</t>
        </r>
      </text>
    </comment>
    <comment ref="C16" authorId="0" shapeId="0" xr:uid="{00000000-0006-0000-0000-000007000000}">
      <text>
        <r>
          <rPr>
            <sz val="10"/>
            <rFont val="Arial"/>
            <family val="2"/>
          </rPr>
          <t>Floor exchange rate for EUR receivable</t>
        </r>
      </text>
    </comment>
    <comment ref="C17" authorId="0" shapeId="0" xr:uid="{00000000-0006-0000-0000-000008000000}">
      <text>
        <r>
          <rPr>
            <sz val="10"/>
            <rFont val="Arial"/>
            <family val="2"/>
          </rPr>
          <t>Upfront premium per EUR of notional</t>
        </r>
      </text>
    </comment>
    <comment ref="C18" authorId="0" shapeId="0" xr:uid="{00000000-0006-0000-0000-000009000000}">
      <text>
        <r>
          <rPr>
            <sz val="10"/>
            <rFont val="Arial"/>
            <family val="2"/>
          </rPr>
          <t>Call on EUR for comparison</t>
        </r>
      </text>
    </comment>
    <comment ref="C19" authorId="0" shapeId="0" xr:uid="{00000000-0006-0000-0000-00000A000000}">
      <text>
        <r>
          <rPr>
            <sz val="10"/>
            <rFont val="Arial"/>
            <family val="2"/>
          </rPr>
          <t>Upfront premium per EUR of notional</t>
        </r>
      </text>
    </comment>
    <comment ref="C22" authorId="0" shapeId="0" xr:uid="{00000000-0006-0000-0000-00000B000000}">
      <text>
        <r>
          <rPr>
            <sz val="10"/>
            <rFont val="Arial"/>
            <family val="2"/>
          </rPr>
          <t>Money-market convention: 360 days per year</t>
        </r>
      </text>
    </comment>
    <comment ref="C26" authorId="0" shapeId="0" xr:uid="{00000000-0006-0000-0000-00000C000000}">
      <text>
        <r>
          <rPr>
            <sz val="10"/>
            <rFont val="Arial"/>
            <family val="2"/>
          </rPr>
          <t>Contract locks exchange rate today; no uncertainty at maturity</t>
        </r>
      </text>
    </comment>
    <comment ref="C31" authorId="0" shapeId="0" xr:uid="{00000000-0006-0000-0000-00000D000000}">
      <text>
        <r>
          <rPr>
            <sz val="10"/>
            <rFont val="Arial"/>
            <family val="2"/>
          </rPr>
          <t>Borrow so that principal + EUR interest = FC_AMT at maturity</t>
        </r>
      </text>
    </comment>
    <comment ref="C32" authorId="0" shapeId="0" xr:uid="{00000000-0006-0000-0000-00000E000000}">
      <text>
        <r>
          <rPr>
            <sz val="10"/>
            <rFont val="Arial"/>
            <family val="2"/>
          </rPr>
          <t>Multiply EUR borrowed by current spot rate</t>
        </r>
      </text>
    </comment>
    <comment ref="C33" authorId="0" shapeId="0" xr:uid="{00000000-0006-0000-0000-00000F000000}">
      <text>
        <r>
          <rPr>
            <sz val="10"/>
            <rFont val="Arial"/>
            <family val="2"/>
          </rPr>
          <t>USD balance grows at US rate over T; repay EUR loan with receivable</t>
        </r>
      </text>
    </comment>
    <comment ref="C35" authorId="0" shapeId="0" xr:uid="{00000000-0006-0000-0000-000010000000}">
      <text>
        <r>
          <rPr>
            <sz val="10"/>
            <rFont val="Arial"/>
            <family val="2"/>
          </rPr>
          <t>Covered interest parity: if the quoted forward differs from IRP-implied forward, this gap is non-zero</t>
        </r>
      </text>
    </comment>
    <comment ref="C36" authorId="0" shapeId="0" xr:uid="{00000000-0006-0000-0000-000011000000}">
      <text>
        <r>
          <rPr>
            <sz val="10"/>
            <rFont val="Arial"/>
            <family val="2"/>
          </rPr>
          <t>Compare this to F0_in. Large gaps suggest the input forward does not satisfy covered IRP with the entered interest rates.</t>
        </r>
      </text>
    </comment>
    <comment ref="C40" authorId="0" shapeId="0" xr:uid="{00000000-0006-0000-0000-000012000000}">
      <text>
        <r>
          <rPr>
            <sz val="10"/>
            <rFont val="Arial"/>
            <family val="2"/>
          </rPr>
          <t>Premium per EUR × notional</t>
        </r>
      </text>
    </comment>
    <comment ref="C41" authorId="0" shapeId="0" xr:uid="{00000000-0006-0000-0000-000013000000}">
      <text>
        <r>
          <rPr>
            <sz val="10"/>
            <rFont val="Arial"/>
            <family val="2"/>
          </rPr>
          <t>Gross up premium at USD rate to compare at T</t>
        </r>
      </text>
    </comment>
    <comment ref="C46" authorId="0" shapeId="0" xr:uid="{00000000-0006-0000-0000-000014000000}">
      <text>
        <r>
          <rPr>
            <sz val="10"/>
            <rFont val="Arial"/>
            <family val="2"/>
          </rPr>
          <t>Below this spot, put pays off enough to cover premium</t>
        </r>
      </text>
    </comment>
    <comment ref="G51" authorId="0" shapeId="0" xr:uid="{00000000-0006-0000-0000-000015000000}">
      <text>
        <r>
          <rPr>
            <sz val="10"/>
            <rFont val="Arial"/>
            <family val="2"/>
          </rPr>
          <t>Floor at K_PUT; keep upside if S_T &gt; K_PUT; subtract FV of premium</t>
        </r>
      </text>
    </comment>
    <comment ref="H51" authorId="0" shapeId="0" xr:uid="{00000000-0006-0000-0000-000016000000}">
      <text>
        <r>
          <rPr>
            <sz val="10"/>
            <rFont val="Arial"/>
            <family val="2"/>
          </rPr>
          <t>Unhedged sale + call payoff − FV of call premium (speculative structure for comparison)</t>
        </r>
      </text>
    </comment>
  </commentList>
</comments>
</file>

<file path=xl/sharedStrings.xml><?xml version="1.0" encoding="utf-8"?>
<sst xmlns="http://schemas.openxmlformats.org/spreadsheetml/2006/main" count="85" uniqueCount="85">
  <si>
    <t>FX HEDGE ANALYSIS — EUR RECEIVABLE</t>
  </si>
  <si>
    <t>Template — Inputs (yellow) | Assumptions (blue) | Formulas (green) | Outputs (gray)</t>
  </si>
  <si>
    <t>1. INPUTS  (fill in yellow cells)</t>
  </si>
  <si>
    <t>Exposure</t>
  </si>
  <si>
    <t>Foreign currency amount receivable (EUR)</t>
  </si>
  <si>
    <t>Time to settlement (days)</t>
  </si>
  <si>
    <t>Market Data</t>
  </si>
  <si>
    <t>Spot rate (USD per EUR)</t>
  </si>
  <si>
    <t>Forward rate (USD per EUR)</t>
  </si>
  <si>
    <t>U.S. risk-free rate (annual)</t>
  </si>
  <si>
    <t>Euro risk-free rate (annual)</t>
  </si>
  <si>
    <t>Option Contract Terms (both strikes are on EUR, receiver's view)</t>
  </si>
  <si>
    <t>Put on EUR — strike (USD per EUR)</t>
  </si>
  <si>
    <t>Put on EUR — premium (USD per EUR)</t>
  </si>
  <si>
    <t>Call on EUR — strike (USD per EUR)</t>
  </si>
  <si>
    <t>Call on EUR — premium (USD per EUR)</t>
  </si>
  <si>
    <t>Assumptions</t>
  </si>
  <si>
    <t>Day-count convention (days/year)</t>
  </si>
  <si>
    <t>Time fraction T = T_DAYS / day-count</t>
  </si>
  <si>
    <t>2. FORWARD HEDGE</t>
  </si>
  <si>
    <t>Locked-in USD proceeds = FC_AMT × F0</t>
  </si>
  <si>
    <t>Effective rate achieved</t>
  </si>
  <si>
    <t>3. MONEY MARKET HEDGE</t>
  </si>
  <si>
    <t>Step-by-step construction:</t>
  </si>
  <si>
    <t>Step 1: Borrow EUR today (PV of receivable)</t>
  </si>
  <si>
    <t>Step 2: Convert EUR proceeds to USD at spot</t>
  </si>
  <si>
    <t>Step 3: Invest USD proceeds at U.S. risk-free rate</t>
  </si>
  <si>
    <t>Money market USD proceeds (final)</t>
  </si>
  <si>
    <t>Parity check: MM − Forward  (≈ 0 if rates &amp; forward are internally consistent)</t>
  </si>
  <si>
    <t>Implied forward from IRP = S0 × (1+R_USD·T)/(1+R_FC·T)</t>
  </si>
  <si>
    <t>4. OPTION STRUCTURES  (Put on EUR = natural hedge  |  Call on EUR = comparison only, NOT a hedge)</t>
  </si>
  <si>
    <t>Premium costs (USD)</t>
  </si>
  <si>
    <t>Put premium — total USD paid today</t>
  </si>
  <si>
    <t>Put premium — future value at maturity</t>
  </si>
  <si>
    <t>Call premium — total USD paid today</t>
  </si>
  <si>
    <t>Call premium — future value at maturity</t>
  </si>
  <si>
    <t>Break-even spot rates at maturity</t>
  </si>
  <si>
    <t>Put break-even  = K_PUT  − FV(prem)/FC_AMT</t>
  </si>
  <si>
    <t>Call break-even = K_CALL + FV(prem)/FC_AMT</t>
  </si>
  <si>
    <t>5. SENSITIVITY  —  Ending spot rate S_T from 0.95×S0 to 1.05×S0</t>
  </si>
  <si>
    <t>% Change</t>
  </si>
  <si>
    <t>S_T (USD/EUR)</t>
  </si>
  <si>
    <t>Unhedged</t>
  </si>
  <si>
    <t>Forward</t>
  </si>
  <si>
    <t>Money Market</t>
  </si>
  <si>
    <t>Put on EUR</t>
  </si>
  <si>
    <t>Call on EUR</t>
  </si>
  <si>
    <t>Notes: Forward and Money Market columns are flat (locked-in). Put floors downside below K_PUT. Call column shows unhedged receivable PLUS long call — this is a speculative structure, not a hedge, shown here per request for side-by-side comparison with the put.</t>
  </si>
  <si>
    <t>6. SUMMARY OUTPUTS  (KPIs)</t>
  </si>
  <si>
    <t>Forward hedge — USD proceeds</t>
  </si>
  <si>
    <t>Money Market hedge — USD proceeds</t>
  </si>
  <si>
    <t>Put on EUR — USD proceeds at S0 (at-the-money view)</t>
  </si>
  <si>
    <t>Put on EUR — USD proceeds if S_T = K_PUT (floor)</t>
  </si>
  <si>
    <t>Call on EUR — USD proceeds at S0  (comparison, not a hedge)</t>
  </si>
  <si>
    <t>Unhedged — USD proceeds at current spot</t>
  </si>
  <si>
    <t>HEDGE RECOMMENDATION  (to be completed in Stage 4)</t>
  </si>
  <si>
    <t>NOTES &amp; ASSUMPTIONS</t>
  </si>
  <si>
    <t>Purpose</t>
  </si>
  <si>
    <t>Template for evaluating FX hedging strategies on a EUR-denominated receivable. Fill yellow input cells; all downstream formulas and the sensitivity table/chart update automatically.</t>
  </si>
  <si>
    <t>Day-count convention</t>
  </si>
  <si>
    <t>360-day money-market convention assumed (standard for USD/EUR money-market rates). Time fraction T = T_DAYS / 360, referenced as named range T_YRS.</t>
  </si>
  <si>
    <t>Interest rate compounding</t>
  </si>
  <si>
    <t>Simple interest is used for both money-market hedge and option-premium gross-up: FV = PV × (1 + r × T). Continuous or periodic compounding can be substituted by changing the formula.</t>
  </si>
  <si>
    <t>Forward hedge</t>
  </si>
  <si>
    <t>Assumed frictionless: no bid-ask spread, no transaction costs, and counterparty is assumed to honor the contract. Locked-in rate = F0 provided by the user.</t>
  </si>
  <si>
    <t>Money market hedge</t>
  </si>
  <si>
    <t>Borrow EUR at R_FC, convert at spot, invest USD at R_USD. By covered interest parity, this should approximately equal FC_AMT × F0 when the inputs are internally consistent. Two diagnostic cells flag any gap: (1) 'Parity check' on the Main Model shows MM − Forward in USD; (2) 'Implied forward from IRP' shows the forward rate implied by the two risk-free rates. If the input forward differs materially from this implied value, the MM and Forward columns will diverge — this reflects an inconsistency in the inputs, not a modeling error.</t>
  </si>
  <si>
    <t>Option structures — PUT on EUR (the hedge)</t>
  </si>
  <si>
    <t>Put on EUR gives the right to sell EUR at strike K_PUT. For a EUR receivable, this is the natural hedge: it floors the USD conversion rate at K_PUT while preserving upside if S_T &gt; K_PUT. Premium is grossed up at the USD risk-free rate to express it on a maturity-date basis.</t>
  </si>
  <si>
    <t>Option structures — CALL on EUR (comparison only, NOT a hedge)</t>
  </si>
  <si>
    <t>A call on EUR gives the right to BUY EUR at K_CALL. For a firm that already holds a EUR receivable (long EUR), buying a call adds MORE long-EUR exposure — this is a speculative structure, not a hedge. It is included in the model per the comparison request, but the model labels and sensitivity chart show it consistently UNDER-performing the unhedged position by the premium cost in most scenarios. The natural hedge for a EUR-receivable holder is a put on EUR (or a forward/MM hedge).</t>
  </si>
  <si>
    <t>Sensitivity range</t>
  </si>
  <si>
    <t>Ending spot rate S_T is varied from 0.95×S0 to 1.05×S0 in 1% increments (11 scenarios).</t>
  </si>
  <si>
    <t>Bid-ask / transaction costs</t>
  </si>
  <si>
    <t>Excluded in this template. In practice, the money-market hedge incurs two conversion spreads and two loan/deposit spreads; the forward hedge incurs a single forward spread; options incur a premium already captured.</t>
  </si>
  <si>
    <t>Taxes and accounting</t>
  </si>
  <si>
    <t>Not modeled. Hedge accounting treatment (ASC 815 / IFRS 9) may affect reported P&amp;L timing but not economic cash flows.</t>
  </si>
  <si>
    <t>Credit / counterparty risk</t>
  </si>
  <si>
    <t>Assumed negligible. In practice, forwards and money-market hedges expose the firm to bank credit risk; options limit this to the premium paid.</t>
  </si>
  <si>
    <t>Color convention</t>
  </si>
  <si>
    <t>Yellow = inputs (editable); Blue = assumptions; Green = formulas/intermediate steps; Gray = outputs/KPIs.</t>
  </si>
  <si>
    <t>Named ranges</t>
  </si>
  <si>
    <t>FC_AMT, T_DAYS, S0_in, F0_in, R_USD, R_FC, K_PUT, PREM_PUT, K_CALL, PREM_CALL, DAY_CT, T_YRS. All downstream formulas reference these names so audit trails stay readable.</t>
  </si>
  <si>
    <t>Stage 4 placeholder</t>
  </si>
  <si>
    <t>The 'HEDGE RECOMMENDATION' row in the Summary Outputs is intentionally blank. It will be completed in Stage 4 after analysis of the sensitivity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</si>
</sst>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%"/>
    <numFmt numFmtId="166" formatCode="\$#,##0.00;&quot;($&quot;#,##0.00\);\-"/>
    <numFmt numFmtId="167" formatCode="\$#,##0;&quot;($&quot;#,##0\);\-"/>
    <numFmt numFmtId="168" formatCode="0.0%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D9D9D9"/>
        <b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7" borderId="1" xfId="0" applyFont="1" applyFill="1" applyBorder="1" applyAlignment="1">
      <alignment horizontal="left"/>
    </xf>
    <xf numFmtId="0" fontId="3" fillId="0" borderId="0" xfId="0" applyFont="1"/>
    <xf numFmtId="0" fontId="5" fillId="3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3" fontId="7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>
      <alignment horizontal="right"/>
    </xf>
    <xf numFmtId="166" fontId="7" fillId="4" borderId="1" xfId="0" applyNumberFormat="1" applyFont="1" applyFill="1" applyBorder="1" applyAlignment="1">
      <alignment horizontal="right"/>
    </xf>
    <xf numFmtId="3" fontId="7" fillId="5" borderId="1" xfId="0" applyNumberFormat="1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right"/>
    </xf>
    <xf numFmtId="167" fontId="7" fillId="6" borderId="1" xfId="0" applyNumberFormat="1" applyFont="1" applyFill="1" applyBorder="1" applyAlignment="1">
      <alignment horizontal="right"/>
    </xf>
    <xf numFmtId="0" fontId="3" fillId="0" borderId="0" xfId="0" applyFont="1"/>
    <xf numFmtId="0" fontId="7" fillId="0" borderId="0" xfId="0" applyFont="1"/>
    <xf numFmtId="3" fontId="7" fillId="6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168" fontId="7" fillId="4" borderId="1" xfId="0" applyNumberFormat="1" applyFont="1" applyFill="1" applyBorder="1" applyAlignment="1">
      <alignment horizontal="center"/>
    </xf>
    <xf numFmtId="167" fontId="7" fillId="7" borderId="1" xfId="0" applyNumberFormat="1" applyFont="1" applyFill="1" applyBorder="1" applyAlignment="1">
      <alignment horizontal="right"/>
    </xf>
    <xf numFmtId="0" fontId="8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USD Proceeds by Hedging Strategy across S_T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Model'!$D$50</c:f>
              <c:strCache>
                <c:ptCount val="1"/>
                <c:pt idx="0">
                  <c:v>Unhedged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'Main Model'!$C$51:$C$61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'Main Model'!$D$51:$D$61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43-4378-A300-A5AF134C0D84}"/>
            </c:ext>
          </c:extLst>
        </c:ser>
        <c:ser>
          <c:idx val="1"/>
          <c:order val="1"/>
          <c:tx>
            <c:strRef>
              <c:f>'Main Model'!$E$50</c:f>
              <c:strCache>
                <c:ptCount val="1"/>
                <c:pt idx="0">
                  <c:v>Forward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'Main Model'!$C$51:$C$61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'Main Model'!$E$51:$E$61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43-4378-A300-A5AF134C0D84}"/>
            </c:ext>
          </c:extLst>
        </c:ser>
        <c:ser>
          <c:idx val="2"/>
          <c:order val="2"/>
          <c:tx>
            <c:strRef>
              <c:f>'Main Model'!$F$50</c:f>
              <c:strCache>
                <c:ptCount val="1"/>
                <c:pt idx="0">
                  <c:v>Money Market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'Main Model'!$C$51:$C$61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'Main Model'!$F$51:$F$61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543-4378-A300-A5AF134C0D84}"/>
            </c:ext>
          </c:extLst>
        </c:ser>
        <c:ser>
          <c:idx val="3"/>
          <c:order val="3"/>
          <c:tx>
            <c:strRef>
              <c:f>'Main Model'!$G$50</c:f>
              <c:strCache>
                <c:ptCount val="1"/>
                <c:pt idx="0">
                  <c:v>Put on EUR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'Main Model'!$C$51:$C$61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'Main Model'!$G$51:$G$61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543-4378-A300-A5AF134C0D84}"/>
            </c:ext>
          </c:extLst>
        </c:ser>
        <c:ser>
          <c:idx val="4"/>
          <c:order val="4"/>
          <c:tx>
            <c:strRef>
              <c:f>'Main Model'!$H$50</c:f>
              <c:strCache>
                <c:ptCount val="1"/>
                <c:pt idx="0">
                  <c:v>Call on EUR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'Main Model'!$C$51:$C$61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'Main Model'!$H$51:$H$61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543-4378-A300-A5AF134C0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445228"/>
        <c:axId val="79457374"/>
      </c:lineChart>
      <c:catAx>
        <c:axId val="22445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Ending Spot Rate (USD/EUR)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457374"/>
        <c:crosses val="autoZero"/>
        <c:auto val="1"/>
        <c:lblAlgn val="ctr"/>
        <c:lblOffset val="100"/>
        <c:noMultiLvlLbl val="0"/>
      </c:catAx>
      <c:valAx>
        <c:axId val="79457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45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5</xdr:col>
      <xdr:colOff>996840</xdr:colOff>
      <xdr:row>92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34" customWidth="1"/>
    <col min="3" max="10" width="18" customWidth="1"/>
  </cols>
  <sheetData>
    <row r="1" spans="1:10" ht="25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21.75" customHeight="1" x14ac:dyDescent="0.3">
      <c r="A4" s="4" t="s">
        <v>2</v>
      </c>
      <c r="B4" s="4"/>
      <c r="C4" s="4"/>
      <c r="D4" s="4"/>
      <c r="E4" s="4"/>
      <c r="F4" s="4"/>
    </row>
    <row r="5" spans="1:10" x14ac:dyDescent="0.3">
      <c r="A5" s="3" t="s">
        <v>3</v>
      </c>
      <c r="B5" s="3"/>
      <c r="C5" s="3"/>
      <c r="D5" s="3"/>
      <c r="E5" s="3"/>
      <c r="F5" s="3"/>
    </row>
    <row r="6" spans="1:10" x14ac:dyDescent="0.3">
      <c r="B6" s="7" t="s">
        <v>4</v>
      </c>
      <c r="C6" s="8"/>
    </row>
    <row r="7" spans="1:10" x14ac:dyDescent="0.3">
      <c r="B7" s="7" t="s">
        <v>5</v>
      </c>
      <c r="C7" s="8"/>
    </row>
    <row r="9" spans="1:10" x14ac:dyDescent="0.3">
      <c r="A9" s="3" t="s">
        <v>6</v>
      </c>
      <c r="B9" s="3"/>
      <c r="C9" s="3"/>
      <c r="D9" s="3"/>
      <c r="E9" s="3"/>
      <c r="F9" s="3"/>
    </row>
    <row r="10" spans="1:10" x14ac:dyDescent="0.3">
      <c r="B10" s="7" t="s">
        <v>7</v>
      </c>
      <c r="C10" s="9"/>
    </row>
    <row r="11" spans="1:10" x14ac:dyDescent="0.3">
      <c r="B11" s="7" t="s">
        <v>8</v>
      </c>
      <c r="C11" s="9"/>
    </row>
    <row r="12" spans="1:10" x14ac:dyDescent="0.3">
      <c r="B12" s="7" t="s">
        <v>9</v>
      </c>
      <c r="C12" s="10"/>
    </row>
    <row r="13" spans="1:10" x14ac:dyDescent="0.3">
      <c r="B13" s="7" t="s">
        <v>10</v>
      </c>
      <c r="C13" s="10"/>
    </row>
    <row r="15" spans="1:10" x14ac:dyDescent="0.3">
      <c r="A15" s="3" t="s">
        <v>11</v>
      </c>
      <c r="B15" s="3"/>
      <c r="C15" s="3"/>
      <c r="D15" s="3"/>
      <c r="E15" s="3"/>
      <c r="F15" s="3"/>
    </row>
    <row r="16" spans="1:10" x14ac:dyDescent="0.3">
      <c r="B16" s="7" t="s">
        <v>12</v>
      </c>
      <c r="C16" s="9"/>
    </row>
    <row r="17" spans="1:6" x14ac:dyDescent="0.3">
      <c r="B17" s="7" t="s">
        <v>13</v>
      </c>
      <c r="C17" s="11"/>
    </row>
    <row r="18" spans="1:6" x14ac:dyDescent="0.3">
      <c r="B18" s="7" t="s">
        <v>14</v>
      </c>
      <c r="C18" s="9"/>
    </row>
    <row r="19" spans="1:6" x14ac:dyDescent="0.3">
      <c r="B19" s="7" t="s">
        <v>15</v>
      </c>
      <c r="C19" s="11"/>
    </row>
    <row r="21" spans="1:6" x14ac:dyDescent="0.3">
      <c r="A21" s="3" t="s">
        <v>16</v>
      </c>
      <c r="B21" s="3"/>
      <c r="C21" s="3"/>
      <c r="D21" s="3"/>
      <c r="E21" s="3"/>
      <c r="F21" s="3"/>
    </row>
    <row r="22" spans="1:6" x14ac:dyDescent="0.3">
      <c r="B22" s="7" t="s">
        <v>17</v>
      </c>
      <c r="C22" s="12">
        <v>360</v>
      </c>
    </row>
    <row r="23" spans="1:6" x14ac:dyDescent="0.3">
      <c r="B23" s="7" t="s">
        <v>18</v>
      </c>
      <c r="C23" s="13">
        <f>T_DAYS/C22</f>
        <v>0</v>
      </c>
    </row>
    <row r="25" spans="1:6" ht="21.75" customHeight="1" x14ac:dyDescent="0.3">
      <c r="A25" s="4" t="s">
        <v>19</v>
      </c>
      <c r="B25" s="4"/>
      <c r="C25" s="4"/>
      <c r="D25" s="4"/>
      <c r="E25" s="4"/>
      <c r="F25" s="4"/>
    </row>
    <row r="26" spans="1:6" x14ac:dyDescent="0.3">
      <c r="B26" s="7" t="s">
        <v>20</v>
      </c>
      <c r="C26" s="14">
        <f>FC_AMT*F0_in</f>
        <v>0</v>
      </c>
    </row>
    <row r="27" spans="1:6" x14ac:dyDescent="0.3">
      <c r="B27" s="7" t="s">
        <v>21</v>
      </c>
      <c r="C27" s="13">
        <f>F0_in</f>
        <v>0</v>
      </c>
    </row>
    <row r="29" spans="1:6" ht="21.75" customHeight="1" x14ac:dyDescent="0.3">
      <c r="A29" s="4" t="s">
        <v>22</v>
      </c>
      <c r="B29" s="4"/>
      <c r="C29" s="4"/>
      <c r="D29" s="4"/>
      <c r="E29" s="4"/>
      <c r="F29" s="4"/>
    </row>
    <row r="30" spans="1:6" x14ac:dyDescent="0.3">
      <c r="B30" s="15" t="s">
        <v>23</v>
      </c>
    </row>
    <row r="31" spans="1:6" x14ac:dyDescent="0.3">
      <c r="B31" s="16" t="s">
        <v>24</v>
      </c>
      <c r="C31" s="17">
        <f>FC_AMT/(1+R_FC*T_YRS)</f>
        <v>0</v>
      </c>
    </row>
    <row r="32" spans="1:6" x14ac:dyDescent="0.3">
      <c r="B32" s="16" t="s">
        <v>25</v>
      </c>
      <c r="C32" s="14">
        <f>C31*S0_in</f>
        <v>0</v>
      </c>
    </row>
    <row r="33" spans="1:6" x14ac:dyDescent="0.3">
      <c r="B33" s="16" t="s">
        <v>26</v>
      </c>
      <c r="C33" s="14">
        <f>C32*(1+R_USD*T_YRS)</f>
        <v>0</v>
      </c>
    </row>
    <row r="34" spans="1:6" x14ac:dyDescent="0.3">
      <c r="B34" s="7" t="s">
        <v>27</v>
      </c>
      <c r="C34" s="14">
        <f>C33</f>
        <v>0</v>
      </c>
    </row>
    <row r="35" spans="1:6" x14ac:dyDescent="0.3">
      <c r="B35" s="7" t="s">
        <v>28</v>
      </c>
      <c r="C35" s="14">
        <f>C34-C26</f>
        <v>0</v>
      </c>
    </row>
    <row r="36" spans="1:6" x14ac:dyDescent="0.3">
      <c r="B36" s="15" t="s">
        <v>29</v>
      </c>
      <c r="C36" s="13">
        <f>S0_in*(1+R_USD*T_YRS)/(1+R_FC*T_YRS)</f>
        <v>0</v>
      </c>
    </row>
    <row r="38" spans="1:6" ht="21.75" customHeight="1" x14ac:dyDescent="0.3">
      <c r="A38" s="4" t="s">
        <v>30</v>
      </c>
      <c r="B38" s="4"/>
      <c r="C38" s="4"/>
      <c r="D38" s="4"/>
      <c r="E38" s="4"/>
      <c r="F38" s="4"/>
    </row>
    <row r="39" spans="1:6" x14ac:dyDescent="0.3">
      <c r="A39" s="3" t="s">
        <v>31</v>
      </c>
      <c r="B39" s="3"/>
      <c r="C39" s="3"/>
      <c r="D39" s="3"/>
      <c r="E39" s="3"/>
      <c r="F39" s="3"/>
    </row>
    <row r="40" spans="1:6" x14ac:dyDescent="0.3">
      <c r="B40" s="7" t="s">
        <v>32</v>
      </c>
      <c r="C40" s="14">
        <f>PREM_PUT*FC_AMT</f>
        <v>0</v>
      </c>
    </row>
    <row r="41" spans="1:6" x14ac:dyDescent="0.3">
      <c r="B41" s="7" t="s">
        <v>33</v>
      </c>
      <c r="C41" s="14">
        <f>C40*(1+R_USD*T_YRS)</f>
        <v>0</v>
      </c>
    </row>
    <row r="42" spans="1:6" x14ac:dyDescent="0.3">
      <c r="B42" s="7" t="s">
        <v>34</v>
      </c>
      <c r="C42" s="14">
        <f>PREM_CALL*FC_AMT</f>
        <v>0</v>
      </c>
    </row>
    <row r="43" spans="1:6" x14ac:dyDescent="0.3">
      <c r="B43" s="7" t="s">
        <v>35</v>
      </c>
      <c r="C43" s="14">
        <f>C42*(1+R_USD*T_YRS)</f>
        <v>0</v>
      </c>
    </row>
    <row r="45" spans="1:6" x14ac:dyDescent="0.3">
      <c r="A45" s="3" t="s">
        <v>36</v>
      </c>
      <c r="B45" s="3"/>
      <c r="C45" s="3"/>
      <c r="D45" s="3"/>
      <c r="E45" s="3"/>
      <c r="F45" s="3"/>
    </row>
    <row r="46" spans="1:6" x14ac:dyDescent="0.3">
      <c r="B46" s="7" t="s">
        <v>37</v>
      </c>
      <c r="C46" s="13" t="str">
        <f>IFERROR(K_PUT-C41/FC_AMT,"")</f>
        <v/>
      </c>
    </row>
    <row r="47" spans="1:6" x14ac:dyDescent="0.3">
      <c r="B47" s="7" t="s">
        <v>38</v>
      </c>
      <c r="C47" s="13" t="str">
        <f>IFERROR(K_CALL+C43/FC_AMT,"")</f>
        <v/>
      </c>
    </row>
    <row r="49" spans="1:8" ht="21.75" customHeight="1" x14ac:dyDescent="0.3">
      <c r="A49" s="4" t="s">
        <v>39</v>
      </c>
      <c r="B49" s="4"/>
      <c r="C49" s="4"/>
      <c r="D49" s="4"/>
      <c r="E49" s="4"/>
      <c r="F49" s="4"/>
    </row>
    <row r="50" spans="1:8" x14ac:dyDescent="0.3">
      <c r="B50" s="18" t="s">
        <v>40</v>
      </c>
      <c r="C50" s="18" t="s">
        <v>41</v>
      </c>
      <c r="D50" s="18" t="s">
        <v>42</v>
      </c>
      <c r="E50" s="18" t="s">
        <v>43</v>
      </c>
      <c r="F50" s="18" t="s">
        <v>44</v>
      </c>
      <c r="G50" s="18" t="s">
        <v>45</v>
      </c>
      <c r="H50" s="18" t="s">
        <v>46</v>
      </c>
    </row>
    <row r="51" spans="1:8" x14ac:dyDescent="0.3">
      <c r="B51" s="19">
        <v>-0.05</v>
      </c>
      <c r="C51" s="13">
        <f t="shared" ref="C51:C61" si="0">S0_in*(1+B51)</f>
        <v>0</v>
      </c>
      <c r="D51" s="14">
        <f t="shared" ref="D51:D61" si="1">FC_AMT*C51</f>
        <v>0</v>
      </c>
      <c r="E51" s="14">
        <f t="shared" ref="E51:E61" si="2">FC_AMT*F0_in</f>
        <v>0</v>
      </c>
      <c r="F51" s="14">
        <f t="shared" ref="F51:F61" si="3">$C$34</f>
        <v>0</v>
      </c>
      <c r="G51" s="14">
        <f t="shared" ref="G51:G61" si="4">MAX(K_PUT,C51)*FC_AMT-$C$41</f>
        <v>0</v>
      </c>
      <c r="H51" s="14">
        <f t="shared" ref="H51:H61" si="5">C51*FC_AMT+MAX(C51-K_CALL,0)*FC_AMT-$C$43</f>
        <v>0</v>
      </c>
    </row>
    <row r="52" spans="1:8" x14ac:dyDescent="0.3">
      <c r="B52" s="19">
        <v>-0.04</v>
      </c>
      <c r="C52" s="13">
        <f t="shared" si="0"/>
        <v>0</v>
      </c>
      <c r="D52" s="14">
        <f t="shared" si="1"/>
        <v>0</v>
      </c>
      <c r="E52" s="14">
        <f t="shared" si="2"/>
        <v>0</v>
      </c>
      <c r="F52" s="14">
        <f t="shared" si="3"/>
        <v>0</v>
      </c>
      <c r="G52" s="14">
        <f t="shared" si="4"/>
        <v>0</v>
      </c>
      <c r="H52" s="14">
        <f t="shared" si="5"/>
        <v>0</v>
      </c>
    </row>
    <row r="53" spans="1:8" x14ac:dyDescent="0.3">
      <c r="B53" s="19">
        <v>-0.03</v>
      </c>
      <c r="C53" s="13">
        <f t="shared" si="0"/>
        <v>0</v>
      </c>
      <c r="D53" s="14">
        <f t="shared" si="1"/>
        <v>0</v>
      </c>
      <c r="E53" s="14">
        <f t="shared" si="2"/>
        <v>0</v>
      </c>
      <c r="F53" s="14">
        <f t="shared" si="3"/>
        <v>0</v>
      </c>
      <c r="G53" s="14">
        <f t="shared" si="4"/>
        <v>0</v>
      </c>
      <c r="H53" s="14">
        <f t="shared" si="5"/>
        <v>0</v>
      </c>
    </row>
    <row r="54" spans="1:8" x14ac:dyDescent="0.3">
      <c r="B54" s="19">
        <v>-0.02</v>
      </c>
      <c r="C54" s="13">
        <f t="shared" si="0"/>
        <v>0</v>
      </c>
      <c r="D54" s="14">
        <f t="shared" si="1"/>
        <v>0</v>
      </c>
      <c r="E54" s="14">
        <f t="shared" si="2"/>
        <v>0</v>
      </c>
      <c r="F54" s="14">
        <f t="shared" si="3"/>
        <v>0</v>
      </c>
      <c r="G54" s="14">
        <f t="shared" si="4"/>
        <v>0</v>
      </c>
      <c r="H54" s="14">
        <f t="shared" si="5"/>
        <v>0</v>
      </c>
    </row>
    <row r="55" spans="1:8" x14ac:dyDescent="0.3">
      <c r="B55" s="19">
        <v>-0.01</v>
      </c>
      <c r="C55" s="13">
        <f t="shared" si="0"/>
        <v>0</v>
      </c>
      <c r="D55" s="14">
        <f t="shared" si="1"/>
        <v>0</v>
      </c>
      <c r="E55" s="14">
        <f t="shared" si="2"/>
        <v>0</v>
      </c>
      <c r="F55" s="14">
        <f t="shared" si="3"/>
        <v>0</v>
      </c>
      <c r="G55" s="14">
        <f t="shared" si="4"/>
        <v>0</v>
      </c>
      <c r="H55" s="14">
        <f t="shared" si="5"/>
        <v>0</v>
      </c>
    </row>
    <row r="56" spans="1:8" x14ac:dyDescent="0.3">
      <c r="B56" s="19">
        <v>0</v>
      </c>
      <c r="C56" s="13">
        <f t="shared" si="0"/>
        <v>0</v>
      </c>
      <c r="D56" s="14">
        <f t="shared" si="1"/>
        <v>0</v>
      </c>
      <c r="E56" s="14">
        <f t="shared" si="2"/>
        <v>0</v>
      </c>
      <c r="F56" s="14">
        <f t="shared" si="3"/>
        <v>0</v>
      </c>
      <c r="G56" s="14">
        <f t="shared" si="4"/>
        <v>0</v>
      </c>
      <c r="H56" s="14">
        <f t="shared" si="5"/>
        <v>0</v>
      </c>
    </row>
    <row r="57" spans="1:8" x14ac:dyDescent="0.3">
      <c r="B57" s="19">
        <v>0.01</v>
      </c>
      <c r="C57" s="13">
        <f t="shared" si="0"/>
        <v>0</v>
      </c>
      <c r="D57" s="14">
        <f t="shared" si="1"/>
        <v>0</v>
      </c>
      <c r="E57" s="14">
        <f t="shared" si="2"/>
        <v>0</v>
      </c>
      <c r="F57" s="14">
        <f t="shared" si="3"/>
        <v>0</v>
      </c>
      <c r="G57" s="14">
        <f t="shared" si="4"/>
        <v>0</v>
      </c>
      <c r="H57" s="14">
        <f t="shared" si="5"/>
        <v>0</v>
      </c>
    </row>
    <row r="58" spans="1:8" x14ac:dyDescent="0.3">
      <c r="B58" s="19">
        <v>0.02</v>
      </c>
      <c r="C58" s="13">
        <f t="shared" si="0"/>
        <v>0</v>
      </c>
      <c r="D58" s="14">
        <f t="shared" si="1"/>
        <v>0</v>
      </c>
      <c r="E58" s="14">
        <f t="shared" si="2"/>
        <v>0</v>
      </c>
      <c r="F58" s="14">
        <f t="shared" si="3"/>
        <v>0</v>
      </c>
      <c r="G58" s="14">
        <f t="shared" si="4"/>
        <v>0</v>
      </c>
      <c r="H58" s="14">
        <f t="shared" si="5"/>
        <v>0</v>
      </c>
    </row>
    <row r="59" spans="1:8" x14ac:dyDescent="0.3">
      <c r="B59" s="19">
        <v>0.03</v>
      </c>
      <c r="C59" s="13">
        <f t="shared" si="0"/>
        <v>0</v>
      </c>
      <c r="D59" s="14">
        <f t="shared" si="1"/>
        <v>0</v>
      </c>
      <c r="E59" s="14">
        <f t="shared" si="2"/>
        <v>0</v>
      </c>
      <c r="F59" s="14">
        <f t="shared" si="3"/>
        <v>0</v>
      </c>
      <c r="G59" s="14">
        <f t="shared" si="4"/>
        <v>0</v>
      </c>
      <c r="H59" s="14">
        <f t="shared" si="5"/>
        <v>0</v>
      </c>
    </row>
    <row r="60" spans="1:8" x14ac:dyDescent="0.3">
      <c r="B60" s="19">
        <v>0.04</v>
      </c>
      <c r="C60" s="13">
        <f t="shared" si="0"/>
        <v>0</v>
      </c>
      <c r="D60" s="14">
        <f t="shared" si="1"/>
        <v>0</v>
      </c>
      <c r="E60" s="14">
        <f t="shared" si="2"/>
        <v>0</v>
      </c>
      <c r="F60" s="14">
        <f t="shared" si="3"/>
        <v>0</v>
      </c>
      <c r="G60" s="14">
        <f t="shared" si="4"/>
        <v>0</v>
      </c>
      <c r="H60" s="14">
        <f t="shared" si="5"/>
        <v>0</v>
      </c>
    </row>
    <row r="61" spans="1:8" x14ac:dyDescent="0.3">
      <c r="B61" s="19">
        <v>0.05</v>
      </c>
      <c r="C61" s="13">
        <f t="shared" si="0"/>
        <v>0</v>
      </c>
      <c r="D61" s="14">
        <f t="shared" si="1"/>
        <v>0</v>
      </c>
      <c r="E61" s="14">
        <f t="shared" si="2"/>
        <v>0</v>
      </c>
      <c r="F61" s="14">
        <f t="shared" si="3"/>
        <v>0</v>
      </c>
      <c r="G61" s="14">
        <f t="shared" si="4"/>
        <v>0</v>
      </c>
      <c r="H61" s="14">
        <f t="shared" si="5"/>
        <v>0</v>
      </c>
    </row>
    <row r="63" spans="1:8" ht="31.5" customHeight="1" x14ac:dyDescent="0.3">
      <c r="B63" s="2" t="s">
        <v>47</v>
      </c>
      <c r="C63" s="2"/>
      <c r="D63" s="2"/>
      <c r="E63" s="2"/>
      <c r="F63" s="2"/>
      <c r="G63" s="2"/>
      <c r="H63" s="2"/>
    </row>
    <row r="65" spans="1:8" ht="21.75" customHeight="1" x14ac:dyDescent="0.3">
      <c r="A65" s="4" t="s">
        <v>48</v>
      </c>
      <c r="B65" s="4"/>
      <c r="C65" s="4"/>
      <c r="D65" s="4"/>
      <c r="E65" s="4"/>
      <c r="F65" s="4"/>
    </row>
    <row r="66" spans="1:8" x14ac:dyDescent="0.3">
      <c r="B66" s="7" t="s">
        <v>49</v>
      </c>
      <c r="C66" s="20">
        <f>C26</f>
        <v>0</v>
      </c>
    </row>
    <row r="67" spans="1:8" x14ac:dyDescent="0.3">
      <c r="B67" s="7" t="s">
        <v>50</v>
      </c>
      <c r="C67" s="20">
        <f>C34</f>
        <v>0</v>
      </c>
    </row>
    <row r="68" spans="1:8" x14ac:dyDescent="0.3">
      <c r="B68" s="7" t="s">
        <v>51</v>
      </c>
      <c r="C68" s="20">
        <f>MAX(K_PUT,S0_in)*FC_AMT-C41</f>
        <v>0</v>
      </c>
    </row>
    <row r="69" spans="1:8" x14ac:dyDescent="0.3">
      <c r="B69" s="7" t="s">
        <v>52</v>
      </c>
      <c r="C69" s="20">
        <f>K_PUT*FC_AMT-C41</f>
        <v>0</v>
      </c>
    </row>
    <row r="70" spans="1:8" x14ac:dyDescent="0.3">
      <c r="B70" s="7" t="s">
        <v>53</v>
      </c>
      <c r="C70" s="20">
        <f>S0_in*FC_AMT+MAX(S0_in-K_CALL,0)*FC_AMT-C43</f>
        <v>0</v>
      </c>
    </row>
    <row r="71" spans="1:8" x14ac:dyDescent="0.3">
      <c r="B71" s="7" t="s">
        <v>54</v>
      </c>
      <c r="C71" s="20">
        <f>S0_in*FC_AMT</f>
        <v>0</v>
      </c>
    </row>
    <row r="72" spans="1:8" x14ac:dyDescent="0.3">
      <c r="B72" s="7" t="s">
        <v>55</v>
      </c>
      <c r="C72" s="1"/>
      <c r="D72" s="1"/>
      <c r="E72" s="1"/>
      <c r="F72" s="1"/>
      <c r="G72" s="1"/>
      <c r="H72" s="1"/>
    </row>
  </sheetData>
  <mergeCells count="16">
    <mergeCell ref="C72:H72"/>
    <mergeCell ref="A39:F39"/>
    <mergeCell ref="A45:F45"/>
    <mergeCell ref="A49:F49"/>
    <mergeCell ref="B63:H63"/>
    <mergeCell ref="A65:F65"/>
    <mergeCell ref="A15:F15"/>
    <mergeCell ref="A21:F21"/>
    <mergeCell ref="A25:F25"/>
    <mergeCell ref="A29:F29"/>
    <mergeCell ref="A38:F38"/>
    <mergeCell ref="A1:J1"/>
    <mergeCell ref="A2:J2"/>
    <mergeCell ref="A4:F4"/>
    <mergeCell ref="A5:F5"/>
    <mergeCell ref="A9:F9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110" customWidth="1"/>
  </cols>
  <sheetData>
    <row r="1" spans="1:2" ht="25.5" customHeight="1" x14ac:dyDescent="0.3">
      <c r="A1" s="6" t="s">
        <v>56</v>
      </c>
      <c r="B1" s="6"/>
    </row>
    <row r="3" spans="1:2" x14ac:dyDescent="0.3">
      <c r="B3" s="21" t="s">
        <v>57</v>
      </c>
    </row>
    <row r="4" spans="1:2" ht="45" customHeight="1" x14ac:dyDescent="0.3">
      <c r="B4" s="22" t="s">
        <v>58</v>
      </c>
    </row>
    <row r="6" spans="1:2" x14ac:dyDescent="0.3">
      <c r="B6" s="21" t="s">
        <v>59</v>
      </c>
    </row>
    <row r="7" spans="1:2" ht="45" customHeight="1" x14ac:dyDescent="0.3">
      <c r="B7" s="22" t="s">
        <v>60</v>
      </c>
    </row>
    <row r="9" spans="1:2" x14ac:dyDescent="0.3">
      <c r="B9" s="21" t="s">
        <v>61</v>
      </c>
    </row>
    <row r="10" spans="1:2" ht="45" customHeight="1" x14ac:dyDescent="0.3">
      <c r="B10" s="22" t="s">
        <v>62</v>
      </c>
    </row>
    <row r="12" spans="1:2" x14ac:dyDescent="0.3">
      <c r="B12" s="21" t="s">
        <v>63</v>
      </c>
    </row>
    <row r="13" spans="1:2" ht="45" customHeight="1" x14ac:dyDescent="0.3">
      <c r="B13" s="22" t="s">
        <v>64</v>
      </c>
    </row>
    <row r="15" spans="1:2" x14ac:dyDescent="0.3">
      <c r="B15" s="21" t="s">
        <v>65</v>
      </c>
    </row>
    <row r="16" spans="1:2" ht="45" customHeight="1" x14ac:dyDescent="0.3">
      <c r="B16" s="22" t="s">
        <v>66</v>
      </c>
    </row>
    <row r="18" spans="2:2" x14ac:dyDescent="0.3">
      <c r="B18" s="21" t="s">
        <v>67</v>
      </c>
    </row>
    <row r="19" spans="2:2" ht="45" customHeight="1" x14ac:dyDescent="0.3">
      <c r="B19" s="22" t="s">
        <v>68</v>
      </c>
    </row>
    <row r="21" spans="2:2" x14ac:dyDescent="0.3">
      <c r="B21" s="21" t="s">
        <v>69</v>
      </c>
    </row>
    <row r="22" spans="2:2" ht="45" customHeight="1" x14ac:dyDescent="0.3">
      <c r="B22" s="22" t="s">
        <v>70</v>
      </c>
    </row>
    <row r="24" spans="2:2" x14ac:dyDescent="0.3">
      <c r="B24" s="21" t="s">
        <v>71</v>
      </c>
    </row>
    <row r="25" spans="2:2" ht="45" customHeight="1" x14ac:dyDescent="0.3">
      <c r="B25" s="22" t="s">
        <v>72</v>
      </c>
    </row>
    <row r="27" spans="2:2" x14ac:dyDescent="0.3">
      <c r="B27" s="21" t="s">
        <v>73</v>
      </c>
    </row>
    <row r="28" spans="2:2" ht="45" customHeight="1" x14ac:dyDescent="0.3">
      <c r="B28" s="22" t="s">
        <v>74</v>
      </c>
    </row>
    <row r="30" spans="2:2" x14ac:dyDescent="0.3">
      <c r="B30" s="21" t="s">
        <v>75</v>
      </c>
    </row>
    <row r="31" spans="2:2" ht="45" customHeight="1" x14ac:dyDescent="0.3">
      <c r="B31" s="22" t="s">
        <v>76</v>
      </c>
    </row>
    <row r="33" spans="2:2" x14ac:dyDescent="0.3">
      <c r="B33" s="21" t="s">
        <v>77</v>
      </c>
    </row>
    <row r="34" spans="2:2" ht="45" customHeight="1" x14ac:dyDescent="0.3">
      <c r="B34" s="22" t="s">
        <v>78</v>
      </c>
    </row>
    <row r="36" spans="2:2" x14ac:dyDescent="0.3">
      <c r="B36" s="21" t="s">
        <v>79</v>
      </c>
    </row>
    <row r="37" spans="2:2" ht="45" customHeight="1" x14ac:dyDescent="0.3">
      <c r="B37" s="22" t="s">
        <v>80</v>
      </c>
    </row>
    <row r="39" spans="2:2" x14ac:dyDescent="0.3">
      <c r="B39" s="21" t="s">
        <v>81</v>
      </c>
    </row>
    <row r="40" spans="2:2" ht="45" customHeight="1" x14ac:dyDescent="0.3">
      <c r="B40" s="22" t="s">
        <v>82</v>
      </c>
    </row>
    <row r="42" spans="2:2" x14ac:dyDescent="0.3">
      <c r="B42" s="21" t="s">
        <v>83</v>
      </c>
    </row>
    <row r="43" spans="2:2" ht="45" customHeight="1" x14ac:dyDescent="0.3">
      <c r="B43" s="22" t="s">
        <v>84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Main Model</vt:lpstr>
      <vt:lpstr>Notes &amp; Assumptions</vt:lpstr>
      <vt:lpstr>DAY_CT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Ferayorni</cp:lastModifiedBy>
  <cp:revision>1</cp:revision>
  <dcterms:created xsi:type="dcterms:W3CDTF">2026-04-20T23:58:18Z</dcterms:created>
  <dcterms:modified xsi:type="dcterms:W3CDTF">2026-04-21T00:01:31Z</dcterms:modified>
  <dc:language>en-US</dc:language>
</cp:coreProperties>
</file>