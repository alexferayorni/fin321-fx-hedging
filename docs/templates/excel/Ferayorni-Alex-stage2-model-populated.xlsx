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4" yWindow="1776" windowWidth="22716" windowHeight="11184" tabRatio="500" firstSheet="0" activeTab="0" autoFilterDateGrouping="1"/>
  </bookViews>
  <sheets>
    <sheet name="Main Model" sheetId="1" state="visible" r:id="rId1"/>
    <sheet name="Notes &amp; Assumptions" sheetId="2" state="visible" r:id="rId2"/>
  </sheets>
  <definedNames>
    <definedName name="DAY_CT">'Main Model'!$C$22</definedName>
    <definedName name="F0_in">'Main Model'!$C$11</definedName>
    <definedName name="FC_AMT">'Main Model'!$C$6</definedName>
    <definedName name="K_CALL">'Main Model'!$C$18</definedName>
    <definedName name="K_PUT">'Main Model'!$C$16</definedName>
    <definedName name="PREM_CALL">'Main Model'!$C$19</definedName>
    <definedName name="PREM_PUT">'Main Model'!$C$17</definedName>
    <definedName name="R_FC">'Main Model'!$C$13</definedName>
    <definedName name="R_USD">'Main Model'!$C$12</definedName>
    <definedName name="S0_in">'Main Model'!$C$10</definedName>
    <definedName name="T_DAYS">'Main Model'!$C$7</definedName>
    <definedName name="T_YRS">'Main Model'!$C$23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%"/>
    <numFmt numFmtId="166" formatCode="\$#,##0.00;&quot;($&quot;#,##0.00\);\-"/>
    <numFmt numFmtId="167" formatCode="\$#,##0;&quot;($&quot;#,##0\);\-"/>
    <numFmt numFmtId="168" formatCode="0.0%"/>
  </numFmts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1"/>
    </font>
    <font>
      <name val="Arial"/>
      <family val="2"/>
      <b val="1"/>
      <color rgb="FF1F4E78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1F4E78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D9D9D9"/>
        <bgColor rgb="FFD9E1F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7" fillId="7" borderId="1" applyAlignment="1" pivotButton="0" quotePrefix="0" xfId="0">
      <alignment horizontal="left"/>
    </xf>
    <xf numFmtId="0" fontId="3" fillId="0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6" fillId="0" borderId="0" pivotButton="0" quotePrefix="0" xfId="0"/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164" fontId="7" fillId="6" borderId="1" applyAlignment="1" pivotButton="0" quotePrefix="0" xfId="0">
      <alignment horizontal="right"/>
    </xf>
    <xf numFmtId="167" fontId="7" fillId="6" borderId="1" applyAlignment="1" pivotButton="0" quotePrefix="0" xfId="0">
      <alignment horizontal="right"/>
    </xf>
    <xf numFmtId="0" fontId="3" fillId="0" borderId="0" pivotButton="0" quotePrefix="0" xfId="0"/>
    <xf numFmtId="0" fontId="7" fillId="0" borderId="0" pivotButton="0" quotePrefix="0" xfId="0"/>
    <xf numFmtId="3" fontId="7" fillId="6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168" fontId="7" fillId="4" borderId="1" applyAlignment="1" pivotButton="0" quotePrefix="0" xfId="0">
      <alignment horizontal="center"/>
    </xf>
    <xf numFmtId="167" fontId="7" fillId="7" borderId="1" applyAlignment="1" pivotButton="0" quotePrefix="0" xfId="0">
      <alignment horizontal="right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USD Proceeds by Hedging Strategy across S_T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'Main Model'!$D$50</f>
              <strCache>
                <ptCount val="1"/>
                <pt idx="0">
                  <v>Unhedged</v>
                </pt>
              </strCache>
            </strRef>
          </tx>
          <spPr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'Main Model'!$C$51:$C$71</f>
            </numRef>
          </cat>
          <val>
            <numRef>
              <f>'Main Model'!$D$51:$D$71</f>
            </numRef>
          </val>
          <smooth val="1"/>
        </ser>
        <ser>
          <idx val="1"/>
          <order val="1"/>
          <tx>
            <strRef>
              <f>'Main Model'!$E$50</f>
              <strCache>
                <ptCount val="1"/>
                <pt idx="0">
                  <v>Forward</v>
                </pt>
              </strCache>
            </strRef>
          </tx>
          <spPr>
            <a:ln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'Main Model'!$C$51:$C$71</f>
            </numRef>
          </cat>
          <val>
            <numRef>
              <f>'Main Model'!$E$51:$E$71</f>
            </numRef>
          </val>
          <smooth val="1"/>
        </ser>
        <ser>
          <idx val="2"/>
          <order val="2"/>
          <tx>
            <strRef>
              <f>'Main Model'!$F$50</f>
              <strCache>
                <ptCount val="1"/>
                <pt idx="0">
                  <v>Money Market</v>
                </pt>
              </strCache>
            </strRef>
          </tx>
          <spPr>
            <a:ln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'Main Model'!$C$51:$C$71</f>
            </numRef>
          </cat>
          <val>
            <numRef>
              <f>'Main Model'!$F$51:$F$71</f>
            </numRef>
          </val>
          <smooth val="1"/>
        </ser>
        <ser>
          <idx val="3"/>
          <order val="3"/>
          <tx>
            <strRef>
              <f>'Main Model'!$G$50</f>
              <strCache>
                <ptCount val="1"/>
                <pt idx="0">
                  <v>Put on EUR</v>
                </pt>
              </strCache>
            </strRef>
          </tx>
          <spPr>
            <a:ln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'Main Model'!$C$51:$C$71</f>
            </numRef>
          </cat>
          <val>
            <numRef>
              <f>'Main Model'!$G$51:$G$71</f>
            </numRef>
          </val>
          <smooth val="1"/>
        </ser>
        <ser>
          <idx val="4"/>
          <order val="4"/>
          <tx>
            <strRef>
              <f>'Main Model'!$H$50</f>
              <strCache>
                <ptCount val="1"/>
                <pt idx="0">
                  <v>Call on EUR</v>
                </pt>
              </strCache>
            </strRef>
          </tx>
          <spPr>
            <a:ln w="28440">
              <a:solidFill>
                <a:srgbClr val="46AAC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'Main Model'!$C$51:$C$71</f>
            </numRef>
          </cat>
          <val>
            <numRef>
              <f>'Main Model'!$H$51:$H$71</f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smooth val="0"/>
        <axId val="22445228"/>
        <axId val="79457374"/>
      </lineChart>
      <catAx>
        <axId val="2244522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Ending Spot Rate (USD/EUR)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9457374"/>
        <crosses val="autoZero"/>
        <auto val="1"/>
        <lblAlgn val="ctr"/>
        <lblOffset val="100"/>
        <noMultiLvlLbl val="0"/>
      </catAx>
      <valAx>
        <axId val="7945737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;&quot;($&quot;#,##0\);\-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2445228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C6" authorId="0" shapeId="0">
      <text>
        <t>Enter EUR face amount of receivable</t>
      </text>
    </comment>
    <comment ref="C7" authorId="0" shapeId="0">
      <text>
        <t>Day-count basis: 360 (money market convention)</t>
      </text>
    </comment>
    <comment ref="C10" authorId="0" shapeId="0">
      <text>
        <t>Current USD/EUR spot rate</t>
      </text>
    </comment>
    <comment ref="C11" authorId="0" shapeId="0">
      <text>
        <t>One-year forward USD/EUR</t>
      </text>
    </comment>
    <comment ref="C12" authorId="0" shapeId="0">
      <text>
        <t>USD money-market rate</t>
      </text>
    </comment>
    <comment ref="C13" authorId="0" shapeId="0">
      <text>
        <t>EUR money-market rate</t>
      </text>
    </comment>
    <comment ref="C16" authorId="0" shapeId="0">
      <text>
        <t>Floor exchange rate for EUR receivable</t>
      </text>
    </comment>
    <comment ref="C17" authorId="0" shapeId="0">
      <text>
        <t>Upfront premium per EUR of notional</t>
      </text>
    </comment>
    <comment ref="C18" authorId="0" shapeId="0">
      <text>
        <t>Call on EUR for comparison</t>
      </text>
    </comment>
    <comment ref="C19" authorId="0" shapeId="0">
      <text>
        <t>Upfront premium per EUR of notional</t>
      </text>
    </comment>
    <comment ref="C22" authorId="0" shapeId="0">
      <text>
        <t>Money-market convention: 360 days per year</t>
      </text>
    </comment>
    <comment ref="C26" authorId="0" shapeId="0">
      <text>
        <t>Contract locks exchange rate today; no uncertainty at maturity</t>
      </text>
    </comment>
    <comment ref="C31" authorId="0" shapeId="0">
      <text>
        <t>Borrow so that principal + EUR interest = FC_AMT at maturity</t>
      </text>
    </comment>
    <comment ref="C32" authorId="0" shapeId="0">
      <text>
        <t>Multiply EUR borrowed by current spot rate</t>
      </text>
    </comment>
    <comment ref="C33" authorId="0" shapeId="0">
      <text>
        <t>USD balance grows at US rate over T; repay EUR loan with receivable</t>
      </text>
    </comment>
    <comment ref="C35" authorId="0" shapeId="0">
      <text>
        <t>Covered interest parity: if the quoted forward differs from IRP-implied forward, this gap is non-zero</t>
      </text>
    </comment>
    <comment ref="C36" authorId="0" shapeId="0">
      <text>
        <t>Compare this to F0_in. Large gaps suggest the input forward does not satisfy covered IRP with the entered interest rates.</t>
      </text>
    </comment>
    <comment ref="C40" authorId="0" shapeId="0">
      <text>
        <t>Premium per EUR × notional</t>
      </text>
    </comment>
    <comment ref="C41" authorId="0" shapeId="0">
      <text>
        <t>Gross up premium at USD rate to compare at T</t>
      </text>
    </comment>
    <comment ref="C46" authorId="0" shapeId="0">
      <text>
        <t>Below this spot, put pays off enough to cover premium</t>
      </text>
    </comment>
    <comment ref="G51" authorId="0" shapeId="0">
      <text>
        <t>Floor at K_PUT; keep upside if S_T &gt; K_PUT; subtract FV of premium</t>
      </text>
    </comment>
    <comment ref="H51" authorId="0" shapeId="0">
      <text>
        <t>Unhedged sale + call payoff − FV of call premium (speculative structure for comparison)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74</row>
      <rowOff>0</rowOff>
    </from>
    <to>
      <col>5</col>
      <colOff>996840</colOff>
      <row>92</row>
      <rowOff>170640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tabSelected="1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4" customWidth="1" min="1" max="1"/>
    <col width="34" customWidth="1" min="2" max="2"/>
    <col width="18" customWidth="1" min="3" max="10"/>
  </cols>
  <sheetData>
    <row r="1" ht="25.5" customHeight="1">
      <c r="A1" s="6" t="inlineStr">
        <is>
          <t>FX HEDGE ANALYSIS — EUR RECEIVABLE</t>
        </is>
      </c>
    </row>
    <row r="2">
      <c r="A2" s="5" t="inlineStr">
        <is>
          <t>Template — Inputs (yellow) | Assumptions (blue) | Formulas (green) | Outputs (gray)</t>
        </is>
      </c>
    </row>
    <row r="4" ht="21.75" customHeight="1">
      <c r="A4" s="4" t="inlineStr">
        <is>
          <t>1. INPUTS  (fill in yellow cells)</t>
        </is>
      </c>
    </row>
    <row r="5">
      <c r="A5" s="3" t="inlineStr">
        <is>
          <t>Exposure</t>
        </is>
      </c>
    </row>
    <row r="6">
      <c r="B6" s="7" t="inlineStr">
        <is>
          <t>Foreign currency amount receivable (EUR)</t>
        </is>
      </c>
      <c r="C6" s="8" t="n">
        <v>10869565</v>
      </c>
    </row>
    <row r="7">
      <c r="B7" s="7" t="inlineStr">
        <is>
          <t>Time to settlement (days)</t>
        </is>
      </c>
      <c r="C7" s="8" t="n">
        <v>360</v>
      </c>
    </row>
    <row r="9">
      <c r="A9" s="3" t="inlineStr">
        <is>
          <t>Market Data</t>
        </is>
      </c>
    </row>
    <row r="10">
      <c r="B10" s="7" t="inlineStr">
        <is>
          <t>Spot rate (USD per EUR)</t>
        </is>
      </c>
      <c r="C10" s="9" t="n">
        <v>1.15</v>
      </c>
    </row>
    <row r="11">
      <c r="B11" s="7" t="inlineStr">
        <is>
          <t>Forward rate (USD per EUR)</t>
        </is>
      </c>
      <c r="C11" s="9" t="n">
        <v>1.091</v>
      </c>
    </row>
    <row r="12">
      <c r="B12" s="7" t="inlineStr">
        <is>
          <t>U.S. risk-free rate (annual)</t>
        </is>
      </c>
      <c r="C12" s="10" t="n">
        <v>0.03713</v>
      </c>
    </row>
    <row r="13">
      <c r="B13" s="7" t="inlineStr">
        <is>
          <t>Euro risk-free rate (annual)</t>
        </is>
      </c>
      <c r="C13" s="10" t="n">
        <v>0.02722</v>
      </c>
    </row>
    <row r="15">
      <c r="A15" s="3" t="inlineStr">
        <is>
          <t>Option Contract Terms (both strikes are on EUR, receiver's view)</t>
        </is>
      </c>
    </row>
    <row r="16">
      <c r="B16" s="7" t="inlineStr">
        <is>
          <t>Put on EUR — strike (USD per EUR)</t>
        </is>
      </c>
      <c r="C16" s="9" t="n">
        <v>1.091</v>
      </c>
    </row>
    <row r="17">
      <c r="B17" s="7" t="inlineStr">
        <is>
          <t>Put on EUR — premium (USD per EUR)</t>
        </is>
      </c>
      <c r="C17" s="11" t="n">
        <v>0.035</v>
      </c>
    </row>
    <row r="18">
      <c r="B18" s="7" t="inlineStr">
        <is>
          <t>Call on EUR — strike (USD per EUR)</t>
        </is>
      </c>
      <c r="C18" s="9" t="n">
        <v>1.2</v>
      </c>
    </row>
    <row r="19">
      <c r="B19" s="7" t="inlineStr">
        <is>
          <t>Call on EUR — premium (USD per EUR)</t>
        </is>
      </c>
      <c r="C19" s="11" t="n">
        <v>0.02</v>
      </c>
    </row>
    <row r="21">
      <c r="A21" s="3" t="inlineStr">
        <is>
          <t>Assumptions</t>
        </is>
      </c>
    </row>
    <row r="22">
      <c r="B22" s="7" t="inlineStr">
        <is>
          <t>Day-count convention (days/year)</t>
        </is>
      </c>
      <c r="C22" s="12" t="n">
        <v>360</v>
      </c>
    </row>
    <row r="23">
      <c r="B23" s="7" t="inlineStr">
        <is>
          <t>Time fraction T = T_DAYS / day-count</t>
        </is>
      </c>
      <c r="C23" s="13">
        <f>T_DAYS/C22</f>
        <v/>
      </c>
    </row>
    <row r="25" ht="21.75" customHeight="1">
      <c r="A25" s="4" t="inlineStr">
        <is>
          <t>2. FORWARD HEDGE</t>
        </is>
      </c>
    </row>
    <row r="26">
      <c r="B26" s="7" t="inlineStr">
        <is>
          <t>Locked-in USD proceeds = FC_AMT × F0</t>
        </is>
      </c>
      <c r="C26" s="14">
        <f>FC_AMT*F0_in</f>
        <v/>
      </c>
    </row>
    <row r="27">
      <c r="B27" s="7" t="inlineStr">
        <is>
          <t>Effective rate achieved</t>
        </is>
      </c>
      <c r="C27" s="13">
        <f>F0_in</f>
        <v/>
      </c>
    </row>
    <row r="29" ht="21.75" customHeight="1">
      <c r="A29" s="4" t="inlineStr">
        <is>
          <t>3. MONEY MARKET HEDGE</t>
        </is>
      </c>
    </row>
    <row r="30">
      <c r="B30" s="15" t="inlineStr">
        <is>
          <t>Step-by-step construction:</t>
        </is>
      </c>
    </row>
    <row r="31">
      <c r="B31" s="16" t="inlineStr">
        <is>
          <t>Step 1: Borrow EUR today (PV of receivable)</t>
        </is>
      </c>
      <c r="C31" s="17">
        <f>FC_AMT/(1+R_FC*T_YRS)</f>
        <v/>
      </c>
    </row>
    <row r="32">
      <c r="B32" s="16" t="inlineStr">
        <is>
          <t>Step 2: Convert EUR proceeds to USD at spot</t>
        </is>
      </c>
      <c r="C32" s="14">
        <f>C31*S0_in</f>
        <v/>
      </c>
    </row>
    <row r="33">
      <c r="B33" s="16" t="inlineStr">
        <is>
          <t>Step 3: Invest USD proceeds at U.S. risk-free rate</t>
        </is>
      </c>
      <c r="C33" s="14">
        <f>C32*(1+R_USD*T_YRS)</f>
        <v/>
      </c>
    </row>
    <row r="34">
      <c r="B34" s="7" t="inlineStr">
        <is>
          <t>Money market USD proceeds (final)</t>
        </is>
      </c>
      <c r="C34" s="14">
        <f>C33</f>
        <v/>
      </c>
    </row>
    <row r="35">
      <c r="B35" s="7" t="inlineStr">
        <is>
          <t>Parity check: MM − Forward  (≈ 0 if rates &amp; forward are internally consistent)</t>
        </is>
      </c>
      <c r="C35" s="14">
        <f>C34-C26</f>
        <v/>
      </c>
    </row>
    <row r="36">
      <c r="B36" s="15" t="inlineStr">
        <is>
          <t>Implied forward from IRP = S0 × (1+R_USD·T)/(1+R_FC·T)</t>
        </is>
      </c>
      <c r="C36" s="13">
        <f>S0_in*(1+R_USD*T_YRS)/(1+R_FC*T_YRS)</f>
        <v/>
      </c>
    </row>
    <row r="38" ht="21.75" customHeight="1">
      <c r="A38" s="4" t="inlineStr">
        <is>
          <t>4. OPTION STRUCTURES  (Put on EUR = natural hedge  |  Call on EUR = comparison only, NOT a hedge)</t>
        </is>
      </c>
    </row>
    <row r="39">
      <c r="A39" s="3" t="inlineStr">
        <is>
          <t>Premium costs (USD)</t>
        </is>
      </c>
    </row>
    <row r="40">
      <c r="B40" s="7" t="inlineStr">
        <is>
          <t>Put premium — total USD paid today</t>
        </is>
      </c>
      <c r="C40" s="14">
        <f>PREM_PUT*FC_AMT</f>
        <v/>
      </c>
    </row>
    <row r="41">
      <c r="B41" s="7" t="inlineStr">
        <is>
          <t>Put premium — future value at maturity</t>
        </is>
      </c>
      <c r="C41" s="14">
        <f>C40*(1+R_USD*T_YRS)</f>
        <v/>
      </c>
    </row>
    <row r="42">
      <c r="B42" s="7" t="inlineStr">
        <is>
          <t>Call premium — total USD paid today</t>
        </is>
      </c>
      <c r="C42" s="14">
        <f>PREM_CALL*FC_AMT</f>
        <v/>
      </c>
    </row>
    <row r="43">
      <c r="B43" s="7" t="inlineStr">
        <is>
          <t>Call premium — future value at maturity</t>
        </is>
      </c>
      <c r="C43" s="14">
        <f>C42*(1+R_USD*T_YRS)</f>
        <v/>
      </c>
    </row>
    <row r="45">
      <c r="A45" s="3" t="inlineStr">
        <is>
          <t>Break-even spot rates at maturity</t>
        </is>
      </c>
    </row>
    <row r="46">
      <c r="B46" s="7" t="inlineStr">
        <is>
          <t>Put break-even  = K_PUT  − FV(prem)/FC_AMT</t>
        </is>
      </c>
      <c r="C46" s="13">
        <f>IFERROR(K_PUT-C41/FC_AMT,"")</f>
        <v/>
      </c>
    </row>
    <row r="47">
      <c r="B47" s="7" t="inlineStr">
        <is>
          <t>Call break-even = K_CALL + FV(prem)/FC_AMT</t>
        </is>
      </c>
      <c r="C47" s="13">
        <f>IFERROR(K_CALL+C43/FC_AMT,"")</f>
        <v/>
      </c>
    </row>
    <row r="49" ht="21.75" customHeight="1">
      <c r="A49" s="4" t="inlineStr">
        <is>
          <t>5. SENSITIVITY  —  Ending spot rate S_T from 0.90×S0 to 1.10×S0</t>
        </is>
      </c>
    </row>
    <row r="50">
      <c r="B50" s="18" t="inlineStr">
        <is>
          <t>% Change</t>
        </is>
      </c>
      <c r="C50" s="18" t="inlineStr">
        <is>
          <t>S_T (USD/EUR)</t>
        </is>
      </c>
      <c r="D50" s="18" t="inlineStr">
        <is>
          <t>Unhedged</t>
        </is>
      </c>
      <c r="E50" s="18" t="inlineStr">
        <is>
          <t>Forward</t>
        </is>
      </c>
      <c r="F50" s="18" t="inlineStr">
        <is>
          <t>Money Market</t>
        </is>
      </c>
      <c r="G50" s="18" t="inlineStr">
        <is>
          <t>Put on EUR</t>
        </is>
      </c>
      <c r="H50" s="18" t="inlineStr">
        <is>
          <t>Call on EUR</t>
        </is>
      </c>
    </row>
    <row r="51">
      <c r="B51" s="19" t="n">
        <v>-0.1</v>
      </c>
      <c r="C51" s="13">
        <f>S0_in*(1+B51)</f>
        <v/>
      </c>
      <c r="D51" s="14">
        <f>FC_AMT*C51</f>
        <v/>
      </c>
      <c r="E51" s="14">
        <f>FC_AMT*F0_in</f>
        <v/>
      </c>
      <c r="F51" s="14">
        <f>$C$34</f>
        <v/>
      </c>
      <c r="G51" s="14">
        <f>MAX(K_PUT,C51)*FC_AMT-$C$41</f>
        <v/>
      </c>
      <c r="H51" s="14">
        <f>C51*FC_AMT+MAX(C51-K_CALL,0)*FC_AMT-$C$43</f>
        <v/>
      </c>
    </row>
    <row r="52">
      <c r="B52" s="19" t="n">
        <v>-0.09</v>
      </c>
      <c r="C52" s="13">
        <f>S0_in*(1+B52)</f>
        <v/>
      </c>
      <c r="D52" s="14">
        <f>FC_AMT*C52</f>
        <v/>
      </c>
      <c r="E52" s="14">
        <f>FC_AMT*F0_in</f>
        <v/>
      </c>
      <c r="F52" s="14">
        <f>$C$34</f>
        <v/>
      </c>
      <c r="G52" s="14">
        <f>MAX(K_PUT,C52)*FC_AMT-$C$41</f>
        <v/>
      </c>
      <c r="H52" s="14">
        <f>C52*FC_AMT+MAX(C52-K_CALL,0)*FC_AMT-$C$43</f>
        <v/>
      </c>
    </row>
    <row r="53">
      <c r="B53" s="19" t="n">
        <v>-0.08</v>
      </c>
      <c r="C53" s="13">
        <f>S0_in*(1+B53)</f>
        <v/>
      </c>
      <c r="D53" s="14">
        <f>FC_AMT*C53</f>
        <v/>
      </c>
      <c r="E53" s="14">
        <f>FC_AMT*F0_in</f>
        <v/>
      </c>
      <c r="F53" s="14">
        <f>$C$34</f>
        <v/>
      </c>
      <c r="G53" s="14">
        <f>MAX(K_PUT,C53)*FC_AMT-$C$41</f>
        <v/>
      </c>
      <c r="H53" s="14">
        <f>C53*FC_AMT+MAX(C53-K_CALL,0)*FC_AMT-$C$43</f>
        <v/>
      </c>
    </row>
    <row r="54">
      <c r="B54" s="19" t="n">
        <v>-0.07000000000000001</v>
      </c>
      <c r="C54" s="13">
        <f>S0_in*(1+B54)</f>
        <v/>
      </c>
      <c r="D54" s="14">
        <f>FC_AMT*C54</f>
        <v/>
      </c>
      <c r="E54" s="14">
        <f>FC_AMT*F0_in</f>
        <v/>
      </c>
      <c r="F54" s="14">
        <f>$C$34</f>
        <v/>
      </c>
      <c r="G54" s="14">
        <f>MAX(K_PUT,C54)*FC_AMT-$C$41</f>
        <v/>
      </c>
      <c r="H54" s="14">
        <f>C54*FC_AMT+MAX(C54-K_CALL,0)*FC_AMT-$C$43</f>
        <v/>
      </c>
    </row>
    <row r="55">
      <c r="B55" s="19" t="n">
        <v>-0.06</v>
      </c>
      <c r="C55" s="13">
        <f>S0_in*(1+B55)</f>
        <v/>
      </c>
      <c r="D55" s="14">
        <f>FC_AMT*C55</f>
        <v/>
      </c>
      <c r="E55" s="14">
        <f>FC_AMT*F0_in</f>
        <v/>
      </c>
      <c r="F55" s="14">
        <f>$C$34</f>
        <v/>
      </c>
      <c r="G55" s="14">
        <f>MAX(K_PUT,C55)*FC_AMT-$C$41</f>
        <v/>
      </c>
      <c r="H55" s="14">
        <f>C55*FC_AMT+MAX(C55-K_CALL,0)*FC_AMT-$C$43</f>
        <v/>
      </c>
    </row>
    <row r="56">
      <c r="B56" s="19" t="n">
        <v>-0.05</v>
      </c>
      <c r="C56" s="13">
        <f>S0_in*(1+B56)</f>
        <v/>
      </c>
      <c r="D56" s="14">
        <f>FC_AMT*C56</f>
        <v/>
      </c>
      <c r="E56" s="14">
        <f>FC_AMT*F0_in</f>
        <v/>
      </c>
      <c r="F56" s="14">
        <f>$C$34</f>
        <v/>
      </c>
      <c r="G56" s="14">
        <f>MAX(K_PUT,C56)*FC_AMT-$C$41</f>
        <v/>
      </c>
      <c r="H56" s="14">
        <f>C56*FC_AMT+MAX(C56-K_CALL,0)*FC_AMT-$C$43</f>
        <v/>
      </c>
    </row>
    <row r="57">
      <c r="B57" s="19" t="n">
        <v>-0.04</v>
      </c>
      <c r="C57" s="13">
        <f>S0_in*(1+B57)</f>
        <v/>
      </c>
      <c r="D57" s="14">
        <f>FC_AMT*C57</f>
        <v/>
      </c>
      <c r="E57" s="14">
        <f>FC_AMT*F0_in</f>
        <v/>
      </c>
      <c r="F57" s="14">
        <f>$C$34</f>
        <v/>
      </c>
      <c r="G57" s="14">
        <f>MAX(K_PUT,C57)*FC_AMT-$C$41</f>
        <v/>
      </c>
      <c r="H57" s="14">
        <f>C57*FC_AMT+MAX(C57-K_CALL,0)*FC_AMT-$C$43</f>
        <v/>
      </c>
    </row>
    <row r="58">
      <c r="B58" s="19" t="n">
        <v>-0.03</v>
      </c>
      <c r="C58" s="13">
        <f>S0_in*(1+B58)</f>
        <v/>
      </c>
      <c r="D58" s="14">
        <f>FC_AMT*C58</f>
        <v/>
      </c>
      <c r="E58" s="14">
        <f>FC_AMT*F0_in</f>
        <v/>
      </c>
      <c r="F58" s="14">
        <f>$C$34</f>
        <v/>
      </c>
      <c r="G58" s="14">
        <f>MAX(K_PUT,C58)*FC_AMT-$C$41</f>
        <v/>
      </c>
      <c r="H58" s="14">
        <f>C58*FC_AMT+MAX(C58-K_CALL,0)*FC_AMT-$C$43</f>
        <v/>
      </c>
    </row>
    <row r="59">
      <c r="B59" s="19" t="n">
        <v>-0.02</v>
      </c>
      <c r="C59" s="13">
        <f>S0_in*(1+B59)</f>
        <v/>
      </c>
      <c r="D59" s="14">
        <f>FC_AMT*C59</f>
        <v/>
      </c>
      <c r="E59" s="14">
        <f>FC_AMT*F0_in</f>
        <v/>
      </c>
      <c r="F59" s="14">
        <f>$C$34</f>
        <v/>
      </c>
      <c r="G59" s="14">
        <f>MAX(K_PUT,C59)*FC_AMT-$C$41</f>
        <v/>
      </c>
      <c r="H59" s="14">
        <f>C59*FC_AMT+MAX(C59-K_CALL,0)*FC_AMT-$C$43</f>
        <v/>
      </c>
    </row>
    <row r="60">
      <c r="B60" s="19" t="n">
        <v>-0.01</v>
      </c>
      <c r="C60" s="13">
        <f>S0_in*(1+B60)</f>
        <v/>
      </c>
      <c r="D60" s="14">
        <f>FC_AMT*C60</f>
        <v/>
      </c>
      <c r="E60" s="14">
        <f>FC_AMT*F0_in</f>
        <v/>
      </c>
      <c r="F60" s="14">
        <f>$C$34</f>
        <v/>
      </c>
      <c r="G60" s="14">
        <f>MAX(K_PUT,C60)*FC_AMT-$C$41</f>
        <v/>
      </c>
      <c r="H60" s="14">
        <f>C60*FC_AMT+MAX(C60-K_CALL,0)*FC_AMT-$C$43</f>
        <v/>
      </c>
    </row>
    <row r="61">
      <c r="B61" s="19" t="n">
        <v>0</v>
      </c>
      <c r="C61" s="13">
        <f>S0_in*(1+B61)</f>
        <v/>
      </c>
      <c r="D61" s="14">
        <f>FC_AMT*C61</f>
        <v/>
      </c>
      <c r="E61" s="14">
        <f>FC_AMT*F0_in</f>
        <v/>
      </c>
      <c r="F61" s="14">
        <f>$C$34</f>
        <v/>
      </c>
      <c r="G61" s="14">
        <f>MAX(K_PUT,C61)*FC_AMT-$C$41</f>
        <v/>
      </c>
      <c r="H61" s="14">
        <f>C61*FC_AMT+MAX(C61-K_CALL,0)*FC_AMT-$C$43</f>
        <v/>
      </c>
    </row>
    <row r="62">
      <c r="B62" s="19" t="n">
        <v>0.01</v>
      </c>
      <c r="C62" s="13">
        <f>S0_in*(1+B62)</f>
        <v/>
      </c>
      <c r="D62" s="14">
        <f>FC_AMT*C62</f>
        <v/>
      </c>
      <c r="E62" s="14">
        <f>FC_AMT*F0_in</f>
        <v/>
      </c>
      <c r="F62" s="14">
        <f>$C$34</f>
        <v/>
      </c>
      <c r="G62" s="14">
        <f>MAX(K_PUT,C62)*FC_AMT-$C$41</f>
        <v/>
      </c>
      <c r="H62" s="14">
        <f>C62*FC_AMT+MAX(C62-K_CALL,0)*FC_AMT-$C$43</f>
        <v/>
      </c>
    </row>
    <row r="63" ht="31.5" customHeight="1">
      <c r="B63" s="19" t="n">
        <v>0.02</v>
      </c>
      <c r="C63" s="13">
        <f>S0_in*(1+B63)</f>
        <v/>
      </c>
      <c r="D63" s="14">
        <f>FC_AMT*C63</f>
        <v/>
      </c>
      <c r="E63" s="14">
        <f>FC_AMT*F0_in</f>
        <v/>
      </c>
      <c r="F63" s="14">
        <f>$C$34</f>
        <v/>
      </c>
      <c r="G63" s="14">
        <f>MAX(K_PUT,C63)*FC_AMT-$C$41</f>
        <v/>
      </c>
      <c r="H63" s="14">
        <f>C63*FC_AMT+MAX(C63-K_CALL,0)*FC_AMT-$C$43</f>
        <v/>
      </c>
    </row>
    <row r="64">
      <c r="B64" s="19" t="n">
        <v>0.03</v>
      </c>
      <c r="C64" s="13">
        <f>S0_in*(1+B64)</f>
        <v/>
      </c>
      <c r="D64" s="14">
        <f>FC_AMT*C64</f>
        <v/>
      </c>
      <c r="E64" s="14">
        <f>FC_AMT*F0_in</f>
        <v/>
      </c>
      <c r="F64" s="14">
        <f>$C$34</f>
        <v/>
      </c>
      <c r="G64" s="14">
        <f>MAX(K_PUT,C64)*FC_AMT-$C$41</f>
        <v/>
      </c>
      <c r="H64" s="14">
        <f>C64*FC_AMT+MAX(C64-K_CALL,0)*FC_AMT-$C$43</f>
        <v/>
      </c>
    </row>
    <row r="65" ht="21.75" customHeight="1">
      <c r="B65" s="19" t="n">
        <v>0.04</v>
      </c>
      <c r="C65" s="13">
        <f>S0_in*(1+B65)</f>
        <v/>
      </c>
      <c r="D65" s="14">
        <f>FC_AMT*C65</f>
        <v/>
      </c>
      <c r="E65" s="14">
        <f>FC_AMT*F0_in</f>
        <v/>
      </c>
      <c r="F65" s="14">
        <f>$C$34</f>
        <v/>
      </c>
      <c r="G65" s="14">
        <f>MAX(K_PUT,C65)*FC_AMT-$C$41</f>
        <v/>
      </c>
      <c r="H65" s="14">
        <f>C65*FC_AMT+MAX(C65-K_CALL,0)*FC_AMT-$C$43</f>
        <v/>
      </c>
    </row>
    <row r="66">
      <c r="B66" s="19" t="n">
        <v>0.05</v>
      </c>
      <c r="C66" s="13">
        <f>S0_in*(1+B66)</f>
        <v/>
      </c>
      <c r="D66" s="14">
        <f>FC_AMT*C66</f>
        <v/>
      </c>
      <c r="E66" s="14">
        <f>FC_AMT*F0_in</f>
        <v/>
      </c>
      <c r="F66" s="14">
        <f>$C$34</f>
        <v/>
      </c>
      <c r="G66" s="14">
        <f>MAX(K_PUT,C66)*FC_AMT-$C$41</f>
        <v/>
      </c>
      <c r="H66" s="14">
        <f>C66*FC_AMT+MAX(C66-K_CALL,0)*FC_AMT-$C$43</f>
        <v/>
      </c>
    </row>
    <row r="67">
      <c r="B67" s="19" t="n">
        <v>0.06</v>
      </c>
      <c r="C67" s="13">
        <f>S0_in*(1+B67)</f>
        <v/>
      </c>
      <c r="D67" s="14">
        <f>FC_AMT*C67</f>
        <v/>
      </c>
      <c r="E67" s="14">
        <f>FC_AMT*F0_in</f>
        <v/>
      </c>
      <c r="F67" s="14">
        <f>$C$34</f>
        <v/>
      </c>
      <c r="G67" s="14">
        <f>MAX(K_PUT,C67)*FC_AMT-$C$41</f>
        <v/>
      </c>
      <c r="H67" s="14">
        <f>C67*FC_AMT+MAX(C67-K_CALL,0)*FC_AMT-$C$43</f>
        <v/>
      </c>
    </row>
    <row r="68">
      <c r="B68" s="19" t="n">
        <v>0.07000000000000001</v>
      </c>
      <c r="C68" s="13">
        <f>S0_in*(1+B68)</f>
        <v/>
      </c>
      <c r="D68" s="14">
        <f>FC_AMT*C68</f>
        <v/>
      </c>
      <c r="E68" s="14">
        <f>FC_AMT*F0_in</f>
        <v/>
      </c>
      <c r="F68" s="14">
        <f>$C$34</f>
        <v/>
      </c>
      <c r="G68" s="14">
        <f>MAX(K_PUT,C68)*FC_AMT-$C$41</f>
        <v/>
      </c>
      <c r="H68" s="14">
        <f>C68*FC_AMT+MAX(C68-K_CALL,0)*FC_AMT-$C$43</f>
        <v/>
      </c>
    </row>
    <row r="69">
      <c r="B69" s="19" t="n">
        <v>0.08</v>
      </c>
      <c r="C69" s="13">
        <f>S0_in*(1+B69)</f>
        <v/>
      </c>
      <c r="D69" s="14">
        <f>FC_AMT*C69</f>
        <v/>
      </c>
      <c r="E69" s="14">
        <f>FC_AMT*F0_in</f>
        <v/>
      </c>
      <c r="F69" s="14">
        <f>$C$34</f>
        <v/>
      </c>
      <c r="G69" s="14">
        <f>MAX(K_PUT,C69)*FC_AMT-$C$41</f>
        <v/>
      </c>
      <c r="H69" s="14">
        <f>C69*FC_AMT+MAX(C69-K_CALL,0)*FC_AMT-$C$43</f>
        <v/>
      </c>
    </row>
    <row r="70">
      <c r="B70" s="19" t="n">
        <v>0.09</v>
      </c>
      <c r="C70" s="13">
        <f>S0_in*(1+B70)</f>
        <v/>
      </c>
      <c r="D70" s="14">
        <f>FC_AMT*C70</f>
        <v/>
      </c>
      <c r="E70" s="14">
        <f>FC_AMT*F0_in</f>
        <v/>
      </c>
      <c r="F70" s="14">
        <f>$C$34</f>
        <v/>
      </c>
      <c r="G70" s="14">
        <f>MAX(K_PUT,C70)*FC_AMT-$C$41</f>
        <v/>
      </c>
      <c r="H70" s="14">
        <f>C70*FC_AMT+MAX(C70-K_CALL,0)*FC_AMT-$C$43</f>
        <v/>
      </c>
    </row>
    <row r="71">
      <c r="B71" s="19" t="n">
        <v>0.1</v>
      </c>
      <c r="C71" s="13">
        <f>S0_in*(1+B71)</f>
        <v/>
      </c>
      <c r="D71" s="14">
        <f>FC_AMT*C71</f>
        <v/>
      </c>
      <c r="E71" s="14">
        <f>FC_AMT*F0_in</f>
        <v/>
      </c>
      <c r="F71" s="14">
        <f>$C$34</f>
        <v/>
      </c>
      <c r="G71" s="14">
        <f>MAX(K_PUT,C71)*FC_AMT-$C$41</f>
        <v/>
      </c>
      <c r="H71" s="14">
        <f>C71*FC_AMT+MAX(C71-K_CALL,0)*FC_AMT-$C$43</f>
        <v/>
      </c>
    </row>
    <row r="72"/>
    <row r="73">
      <c r="B73" s="15" t="inlineStr">
        <is>
          <t>Notes: Forward and Money Market columns are flat (locked-in). Put floors downside below K_PUT. Call column shows unhedged receivable PLUS long call — this is a speculative structure, not a hedge, shown here per request for side-by-side comparison with the put.</t>
        </is>
      </c>
    </row>
    <row r="74"/>
    <row r="75">
      <c r="A75" s="4" t="inlineStr">
        <is>
          <t>6. SUMMARY OUTPUTS  (KPIs)</t>
        </is>
      </c>
    </row>
    <row r="76">
      <c r="B76" s="7" t="inlineStr">
        <is>
          <t>Forward hedge — USD proceeds</t>
        </is>
      </c>
      <c r="C76" s="20">
        <f>C26</f>
        <v/>
      </c>
    </row>
    <row r="77">
      <c r="B77" s="7" t="inlineStr">
        <is>
          <t>Money Market hedge — USD proceeds</t>
        </is>
      </c>
      <c r="C77" s="20">
        <f>C34</f>
        <v/>
      </c>
    </row>
    <row r="78">
      <c r="B78" s="7" t="inlineStr">
        <is>
          <t>Put on EUR — USD proceeds at S0 (at-the-money view)</t>
        </is>
      </c>
      <c r="C78" s="20">
        <f>MAX(K_PUT,S0_in)*FC_AMT-C41</f>
        <v/>
      </c>
    </row>
    <row r="79">
      <c r="B79" s="7" t="inlineStr">
        <is>
          <t>Put on EUR — USD proceeds if S_T = K_PUT (floor)</t>
        </is>
      </c>
      <c r="C79" s="20">
        <f>K_PUT*FC_AMT-C41</f>
        <v/>
      </c>
    </row>
    <row r="80">
      <c r="B80" s="7" t="inlineStr">
        <is>
          <t>Call on EUR — USD proceeds at S0  (comparison, not a hedge)</t>
        </is>
      </c>
      <c r="C80" s="20">
        <f>S0_in*FC_AMT+MAX(S0_in-K_CALL,0)*FC_AMT-C43</f>
        <v/>
      </c>
    </row>
    <row r="81">
      <c r="B81" s="7" t="inlineStr">
        <is>
          <t>Unhedged — USD proceeds at current spot</t>
        </is>
      </c>
      <c r="C81" s="20">
        <f>S0_in*FC_AMT</f>
        <v/>
      </c>
    </row>
    <row r="82">
      <c r="B82" s="7" t="inlineStr">
        <is>
          <t>HEDGE RECOMMENDATION  (to be completed in Stage 4)</t>
        </is>
      </c>
      <c r="C82" s="1" t="n"/>
      <c r="D82" s="23" t="n"/>
      <c r="E82" s="23" t="n"/>
      <c r="F82" s="23" t="n"/>
      <c r="G82" s="23" t="n"/>
      <c r="H82" s="24" t="n"/>
    </row>
  </sheetData>
  <mergeCells count="16">
    <mergeCell ref="A75:F75"/>
    <mergeCell ref="A21:F21"/>
    <mergeCell ref="A5:F5"/>
    <mergeCell ref="A4:F4"/>
    <mergeCell ref="C82:H82"/>
    <mergeCell ref="A29:F29"/>
    <mergeCell ref="A38:F38"/>
    <mergeCell ref="A1:J1"/>
    <mergeCell ref="A9:F9"/>
    <mergeCell ref="A39:F39"/>
    <mergeCell ref="A15:F15"/>
    <mergeCell ref="A49:F49"/>
    <mergeCell ref="A45:F45"/>
    <mergeCell ref="B73:H73"/>
    <mergeCell ref="A2:J2"/>
    <mergeCell ref="A25:F25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zoomScaleNormal="100" workbookViewId="0">
      <selection activeCell="A1" sqref="A1"/>
    </sheetView>
  </sheetViews>
  <sheetFormatPr baseColWidth="8" defaultColWidth="8.6640625" defaultRowHeight="14.4"/>
  <cols>
    <col width="4" customWidth="1" min="1" max="1"/>
    <col width="110" customWidth="1" min="2" max="2"/>
  </cols>
  <sheetData>
    <row r="1" ht="25.5" customHeight="1">
      <c r="A1" s="6" t="inlineStr">
        <is>
          <t>NOTES &amp; ASSUMPTIONS</t>
        </is>
      </c>
    </row>
    <row r="3">
      <c r="B3" s="21" t="inlineStr">
        <is>
          <t>Purpose</t>
        </is>
      </c>
    </row>
    <row r="4" ht="45" customHeight="1">
      <c r="B4" s="22" t="inlineStr">
        <is>
          <t>Template for evaluating FX hedging strategies on a EUR-denominated receivable. Fill yellow input cells; all downstream formulas and the sensitivity table/chart update automatically.</t>
        </is>
      </c>
    </row>
    <row r="6">
      <c r="B6" s="21" t="inlineStr">
        <is>
          <t>Day-count convention</t>
        </is>
      </c>
    </row>
    <row r="7" ht="45" customHeight="1">
      <c r="B7" s="22" t="inlineStr">
        <is>
          <t>360-day money-market convention assumed (standard for USD/EUR money-market rates). Time fraction T = T_DAYS / 360, referenced as named range T_YRS.</t>
        </is>
      </c>
    </row>
    <row r="9">
      <c r="B9" s="21" t="inlineStr">
        <is>
          <t>Interest rate compounding</t>
        </is>
      </c>
    </row>
    <row r="10" ht="45" customHeight="1">
      <c r="B10" s="22" t="inlineStr">
        <is>
          <t>Simple interest is used for both money-market hedge and option-premium gross-up: FV = PV × (1 + r × T). Continuous or periodic compounding can be substituted by changing the formula.</t>
        </is>
      </c>
    </row>
    <row r="12">
      <c r="B12" s="21" t="inlineStr">
        <is>
          <t>Forward hedge</t>
        </is>
      </c>
    </row>
    <row r="13" ht="45" customHeight="1">
      <c r="B13" s="22" t="inlineStr">
        <is>
          <t>Assumed frictionless: no bid-ask spread, no transaction costs, and counterparty is assumed to honor the contract. Locked-in rate = F0 provided by the user.</t>
        </is>
      </c>
    </row>
    <row r="15">
      <c r="B15" s="21" t="inlineStr">
        <is>
          <t>Money market hedge</t>
        </is>
      </c>
    </row>
    <row r="16" ht="45" customHeight="1">
      <c r="B16" s="22" t="inlineStr">
        <is>
          <t>Borrow EUR at R_FC, convert at spot, invest USD at R_USD. By covered interest parity, this should approximately equal FC_AMT × F0 when the inputs are internally consistent. Two diagnostic cells flag any gap: (1) 'Parity check' on the Main Model shows MM − Forward in USD; (2) 'Implied forward from IRP' shows the forward rate implied by the two risk-free rates. If the input forward differs materially from this implied value, the MM and Forward columns will diverge — this reflects an inconsistency in the inputs, not a modeling error.</t>
        </is>
      </c>
    </row>
    <row r="18">
      <c r="B18" s="21" t="inlineStr">
        <is>
          <t>Option structures — PUT on EUR (the hedge)</t>
        </is>
      </c>
    </row>
    <row r="19" ht="45" customHeight="1">
      <c r="B19" s="22" t="inlineStr">
        <is>
          <t>Put on EUR gives the right to sell EUR at strike K_PUT. For a EUR receivable, this is the natural hedge: it floors the USD conversion rate at K_PUT while preserving upside if S_T &gt; K_PUT. Premium is grossed up at the USD risk-free rate to express it on a maturity-date basis.</t>
        </is>
      </c>
    </row>
    <row r="21">
      <c r="B21" s="21" t="inlineStr">
        <is>
          <t>Option structures — CALL on EUR (comparison only, NOT a hedge)</t>
        </is>
      </c>
    </row>
    <row r="22" ht="45" customHeight="1">
      <c r="B22" s="22" t="inlineStr">
        <is>
          <t>A call on EUR gives the right to BUY EUR at K_CALL. For a firm that already holds a EUR receivable (long EUR), buying a call adds MORE long-EUR exposure — this is a speculative structure, not a hedge. It is included in the model per the comparison request, but the model labels and sensitivity chart show it consistently UNDER-performing the unhedged position by the premium cost in most scenarios. The natural hedge for a EUR-receivable holder is a put on EUR (or a forward/MM hedge).</t>
        </is>
      </c>
    </row>
    <row r="24">
      <c r="B24" s="21" t="inlineStr">
        <is>
          <t>Sensitivity range</t>
        </is>
      </c>
    </row>
    <row r="25" ht="45" customHeight="1">
      <c r="B25" s="22" t="inlineStr">
        <is>
          <t>Ending spot rate S_T is varied from 0.95×S0 to 1.05×S0 in 1% increments (11 scenarios).</t>
        </is>
      </c>
    </row>
    <row r="27">
      <c r="B27" s="21" t="inlineStr">
        <is>
          <t>Bid-ask / transaction costs</t>
        </is>
      </c>
    </row>
    <row r="28" ht="45" customHeight="1">
      <c r="B28" s="22" t="inlineStr">
        <is>
          <t>Excluded in this template. In practice, the money-market hedge incurs two conversion spreads and two loan/deposit spreads; the forward hedge incurs a single forward spread; options incur a premium already captured.</t>
        </is>
      </c>
    </row>
    <row r="30">
      <c r="B30" s="21" t="inlineStr">
        <is>
          <t>Taxes and accounting</t>
        </is>
      </c>
    </row>
    <row r="31" ht="45" customHeight="1">
      <c r="B31" s="22" t="inlineStr">
        <is>
          <t>Not modeled. Hedge accounting treatment (ASC 815 / IFRS 9) may affect reported P&amp;L timing but not economic cash flows.</t>
        </is>
      </c>
    </row>
    <row r="33">
      <c r="B33" s="21" t="inlineStr">
        <is>
          <t>Credit / counterparty risk</t>
        </is>
      </c>
    </row>
    <row r="34" ht="45" customHeight="1">
      <c r="B34" s="22" t="inlineStr">
        <is>
          <t>Assumed negligible. In practice, forwards and money-market hedges expose the firm to bank credit risk; options limit this to the premium paid.</t>
        </is>
      </c>
    </row>
    <row r="36">
      <c r="B36" s="21" t="inlineStr">
        <is>
          <t>Color convention</t>
        </is>
      </c>
    </row>
    <row r="37" ht="45" customHeight="1">
      <c r="B37" s="22" t="inlineStr">
        <is>
          <t>Yellow = inputs (editable); Blue = assumptions; Green = formulas/intermediate steps; Gray = outputs/KPIs.</t>
        </is>
      </c>
    </row>
    <row r="39">
      <c r="B39" s="21" t="inlineStr">
        <is>
          <t>Named ranges</t>
        </is>
      </c>
    </row>
    <row r="40" ht="45" customHeight="1">
      <c r="B40" s="22" t="inlineStr">
        <is>
          <t>FC_AMT, T_DAYS, S0_in, F0_in, R_USD, R_FC, K_PUT, PREM_PUT, K_CALL, PREM_CALL, DAY_CT, T_YRS. All downstream formulas reference these names so audit trails stay readable.</t>
        </is>
      </c>
    </row>
    <row r="42">
      <c r="B42" s="21" t="inlineStr">
        <is>
          <t>Stage 4 placeholder</t>
        </is>
      </c>
    </row>
    <row r="43" ht="45" customHeight="1">
      <c r="B43" s="22" t="inlineStr">
        <is>
          <t>The 'HEDGE RECOMMENDATION' row in the Summary Outputs is intentionally blank. It will be completed in Stage 4 after analysis of the sensitivity results.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2026-04-20T23:58:18Z</dcterms:created>
  <dcterms:modified xsi:type="dcterms:W3CDTF">2026-04-28T19:28:05Z</dcterms:modified>
  <cp:lastModifiedBy>Alex Ferayorni</cp:lastModifiedBy>
  <cp:revision>1</cp:revision>
</cp:coreProperties>
</file>